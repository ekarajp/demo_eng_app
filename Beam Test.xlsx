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378BE8E-79D2-475A-8111-65AF5A6D89E4}" xr6:coauthVersionLast="47" xr6:coauthVersionMax="47" xr10:uidLastSave="{00000000-0000-0000-0000-000000000000}"/>
  <bookViews>
    <workbookView xWindow="-120" yWindow="-120" windowWidth="38640" windowHeight="21240" xr2:uid="{80E86104-362B-4775-A042-421C0295BFEE}"/>
  </bookViews>
  <sheets>
    <sheet name="B1" sheetId="2" r:id="rId1"/>
  </sheets>
  <definedNames>
    <definedName name="fy" localSheetId="0">'B1'!$D$13</definedName>
    <definedName name="fy">#REF!</definedName>
    <definedName name="_xlnm.Print_Area" localSheetId="0">'B1'!$A$1:$K$183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3" i="2" l="1"/>
  <c r="D39" i="2"/>
  <c r="I135" i="2"/>
  <c r="D135" i="2"/>
  <c r="D136" i="2" s="1"/>
  <c r="M166" i="2"/>
  <c r="C62" i="2"/>
  <c r="D63" i="2"/>
  <c r="I63" i="2" s="1"/>
  <c r="F183" i="2"/>
  <c r="D183" i="2"/>
  <c r="F180" i="2"/>
  <c r="D180" i="2"/>
  <c r="J178" i="2"/>
  <c r="D150" i="2"/>
  <c r="I149" i="2"/>
  <c r="D149" i="2"/>
  <c r="D147" i="2"/>
  <c r="I150" i="2" s="1"/>
  <c r="I146" i="2"/>
  <c r="D146" i="2"/>
  <c r="I148" i="2" s="1"/>
  <c r="J129" i="2"/>
  <c r="J128" i="2"/>
  <c r="J127" i="2"/>
  <c r="J126" i="2"/>
  <c r="C126" i="2"/>
  <c r="D118" i="2"/>
  <c r="D107" i="2"/>
  <c r="D110" i="2" s="1"/>
  <c r="D106" i="2"/>
  <c r="G104" i="2"/>
  <c r="F104" i="2"/>
  <c r="G102" i="2"/>
  <c r="F102" i="2"/>
  <c r="I100" i="2"/>
  <c r="F100" i="2"/>
  <c r="G100" i="2" s="1"/>
  <c r="D96" i="2"/>
  <c r="D95" i="2"/>
  <c r="G93" i="2"/>
  <c r="F93" i="2"/>
  <c r="G91" i="2"/>
  <c r="F91" i="2"/>
  <c r="F89" i="2"/>
  <c r="G89" i="2" s="1"/>
  <c r="J81" i="2"/>
  <c r="J80" i="2"/>
  <c r="J79" i="2"/>
  <c r="J78" i="2"/>
  <c r="C78" i="2"/>
  <c r="D70" i="2"/>
  <c r="I59" i="2"/>
  <c r="D50" i="2"/>
  <c r="D49" i="2"/>
  <c r="F47" i="2"/>
  <c r="G47" i="2" s="1"/>
  <c r="F45" i="2"/>
  <c r="G45" i="2" s="1"/>
  <c r="F43" i="2"/>
  <c r="G43" i="2" s="1"/>
  <c r="D38" i="2"/>
  <c r="G36" i="2"/>
  <c r="F36" i="2"/>
  <c r="G34" i="2"/>
  <c r="F34" i="2"/>
  <c r="F32" i="2"/>
  <c r="G32" i="2" s="1"/>
  <c r="Z23" i="2"/>
  <c r="Z22" i="2"/>
  <c r="Z21" i="2"/>
  <c r="J21" i="2"/>
  <c r="Z20" i="2"/>
  <c r="J20" i="2"/>
  <c r="G96" i="2" s="1"/>
  <c r="J19" i="2"/>
  <c r="I15" i="2"/>
  <c r="D15" i="2"/>
  <c r="AC5" i="2" s="1"/>
  <c r="I13" i="2"/>
  <c r="P7" i="2" s="1"/>
  <c r="P13" i="2" s="1"/>
  <c r="P12" i="2"/>
  <c r="I12" i="2"/>
  <c r="I14" i="2" s="1"/>
  <c r="D151" i="2" s="1"/>
  <c r="AB6" i="2"/>
  <c r="G51" i="2" s="1"/>
  <c r="P6" i="2"/>
  <c r="AB5" i="2"/>
  <c r="AB4" i="2"/>
  <c r="AB3" i="2"/>
  <c r="G108" i="2" l="1"/>
  <c r="I136" i="2"/>
  <c r="D137" i="2"/>
  <c r="Z11" i="2"/>
  <c r="Z12" i="2"/>
  <c r="Z10" i="2"/>
  <c r="Z13" i="2"/>
  <c r="P11" i="2"/>
  <c r="P14" i="2" s="1"/>
  <c r="Z5" i="2" s="1"/>
  <c r="D22" i="2"/>
  <c r="D23" i="2" s="1"/>
  <c r="I111" i="2" s="1"/>
  <c r="G39" i="2"/>
  <c r="I173" i="2" s="1"/>
  <c r="J22" i="2"/>
  <c r="D138" i="2" s="1"/>
  <c r="AC13" i="2"/>
  <c r="AC10" i="2"/>
  <c r="AC11" i="2"/>
  <c r="AC12" i="2"/>
  <c r="D141" i="2"/>
  <c r="I141" i="2"/>
  <c r="AC3" i="2"/>
  <c r="D21" i="2"/>
  <c r="D24" i="2" s="1"/>
  <c r="D53" i="2"/>
  <c r="P5" i="2" s="1"/>
  <c r="P8" i="2" s="1"/>
  <c r="D148" i="2"/>
  <c r="I151" i="2"/>
  <c r="AC6" i="2"/>
  <c r="AC4" i="2"/>
  <c r="I140" i="2" l="1"/>
  <c r="AF10" i="2"/>
  <c r="AF11" i="2"/>
  <c r="AF12" i="2"/>
  <c r="AF13" i="2"/>
  <c r="D140" i="2"/>
  <c r="I138" i="2"/>
  <c r="I139" i="2"/>
  <c r="D139" i="2"/>
  <c r="Z6" i="2"/>
  <c r="I84" i="2" s="1"/>
  <c r="D85" i="2" s="1"/>
  <c r="I85" i="2" s="1"/>
  <c r="D86" i="2" s="1"/>
  <c r="Z4" i="2"/>
  <c r="D108" i="2"/>
  <c r="I117" i="2"/>
  <c r="I118" i="2" s="1"/>
  <c r="K118" i="2" s="1"/>
  <c r="D60" i="2"/>
  <c r="D61" i="2" s="1"/>
  <c r="I69" i="2"/>
  <c r="I70" i="2" s="1"/>
  <c r="K70" i="2" s="1"/>
  <c r="I60" i="2"/>
  <c r="G50" i="2"/>
  <c r="D51" i="2"/>
  <c r="D152" i="2"/>
  <c r="I152" i="2" s="1"/>
  <c r="D156" i="2" s="1"/>
  <c r="I156" i="2" s="1"/>
  <c r="D142" i="2"/>
  <c r="I142" i="2" s="1"/>
  <c r="I54" i="2"/>
  <c r="Y5" i="2"/>
  <c r="Y6" i="2"/>
  <c r="I27" i="2" s="1"/>
  <c r="D28" i="2" s="1"/>
  <c r="I28" i="2" s="1"/>
  <c r="D29" i="2" s="1"/>
  <c r="Y4" i="2"/>
  <c r="G109" i="2"/>
  <c r="D109" i="2" s="1"/>
  <c r="G52" i="2"/>
  <c r="D52" i="2" s="1"/>
  <c r="G107" i="2"/>
  <c r="I112" i="2" l="1"/>
  <c r="I55" i="2"/>
  <c r="J56" i="2" s="1"/>
  <c r="D155" i="2"/>
  <c r="Y10" i="2" s="1"/>
  <c r="I64" i="2"/>
  <c r="D65" i="2" s="1"/>
  <c r="F61" i="2"/>
  <c r="D162" i="2"/>
  <c r="I162" i="2" s="1"/>
  <c r="D159" i="2"/>
  <c r="I159" i="2" s="1"/>
  <c r="D161" i="2"/>
  <c r="AE13" i="2" s="1"/>
  <c r="D158" i="2"/>
  <c r="I50" i="2"/>
  <c r="I107" i="2"/>
  <c r="J113" i="2" l="1"/>
  <c r="I113" i="2"/>
  <c r="I56" i="2"/>
  <c r="Y11" i="2"/>
  <c r="Y13" i="2"/>
  <c r="Y12" i="2"/>
  <c r="D164" i="2"/>
  <c r="AA11" i="2" s="1"/>
  <c r="D166" i="2"/>
  <c r="AG11" i="2" s="1"/>
  <c r="AB12" i="2"/>
  <c r="AB10" i="2"/>
  <c r="AB11" i="2"/>
  <c r="AB13" i="2"/>
  <c r="D165" i="2" s="1"/>
  <c r="G165" i="2" s="1"/>
  <c r="AE12" i="2"/>
  <c r="AE11" i="2"/>
  <c r="AE10" i="2"/>
  <c r="AA12" i="2" l="1"/>
  <c r="G164" i="2"/>
  <c r="AA10" i="2"/>
  <c r="AA13" i="2"/>
  <c r="D169" i="2" s="1"/>
  <c r="AG12" i="2"/>
  <c r="G166" i="2"/>
  <c r="AG13" i="2"/>
  <c r="AG10" i="2"/>
  <c r="D173" i="2"/>
  <c r="D174" i="2" s="1"/>
  <c r="AD11" i="2"/>
  <c r="AD13" i="2"/>
  <c r="I169" i="2" s="1"/>
  <c r="AD12" i="2"/>
  <c r="AD10" i="2"/>
  <c r="D175" i="2" l="1"/>
  <c r="I175" i="2" s="1"/>
  <c r="I181" i="2" s="1"/>
  <c r="I183" i="2" s="1"/>
  <c r="D170" i="2"/>
  <c r="I178" i="2" s="1"/>
  <c r="I18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Ekaraj Prakobkit</author>
  </authors>
  <commentList>
    <comment ref="D20" authorId="0" shapeId="0" xr:uid="{A4890496-CBDB-4791-8C2F-E708445A095D}">
      <text>
        <r>
          <rPr>
            <b/>
            <sz val="9"/>
            <color indexed="81"/>
            <rFont val="Tahoma"/>
            <family val="2"/>
          </rPr>
          <t>EIT
- คอนกรีตหล่อบนดินหรือใต้ดินถาวร :</t>
        </r>
        <r>
          <rPr>
            <sz val="9"/>
            <color indexed="81"/>
            <rFont val="Tahoma"/>
            <family val="2"/>
          </rPr>
          <t xml:space="preserve">  7.5 cm
- </t>
        </r>
        <r>
          <rPr>
            <b/>
            <sz val="9"/>
            <color indexed="81"/>
            <rFont val="Tahoma"/>
            <family val="2"/>
          </rPr>
          <t xml:space="preserve">คอนกรีตหล่อบนพื้นดินหรือสภาพอากาศภายนอก </t>
        </r>
        <r>
          <rPr>
            <sz val="9"/>
            <color indexed="81"/>
            <rFont val="Tahoma"/>
            <family val="2"/>
          </rPr>
          <t xml:space="preserve">
  DB20 และใหญ่กว่า 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5.0 cm
  DB16 และน้อยกว่า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4.0 cm
- </t>
        </r>
        <r>
          <rPr>
            <b/>
            <sz val="9"/>
            <color indexed="81"/>
            <rFont val="Tahoma"/>
            <family val="2"/>
          </rPr>
          <t>คอนกรีตไม่ได้สัมผัสดินหรือสภาพอากาศภายนอก :</t>
        </r>
        <r>
          <rPr>
            <sz val="9"/>
            <color indexed="81"/>
            <rFont val="Tahoma"/>
            <family val="2"/>
          </rPr>
          <t xml:space="preserve"> 4.0 cm</t>
        </r>
      </text>
    </comment>
    <comment ref="I132" authorId="0" shapeId="0" xr:uid="{9E98452C-991F-4449-A595-0006901756A5}">
      <text>
        <r>
          <rPr>
            <b/>
            <sz val="9"/>
            <color indexed="81"/>
            <rFont val="Tahoma"/>
            <family val="2"/>
          </rPr>
          <t xml:space="preserve">ค่าตามช่วงเวลาน้ำหนักคงค้าง
</t>
        </r>
        <r>
          <rPr>
            <sz val="9"/>
            <color indexed="81"/>
            <rFont val="Tahoma"/>
            <family val="2"/>
          </rPr>
          <t>5 ปีหรือมากกว่า = 2.0
1 ปี = 1.4
6 เดือน = 1.2
3 เดือน = 1.0</t>
        </r>
      </text>
    </comment>
  </commentList>
</comments>
</file>

<file path=xl/sharedStrings.xml><?xml version="1.0" encoding="utf-8"?>
<sst xmlns="http://schemas.openxmlformats.org/spreadsheetml/2006/main" count="516" uniqueCount="186">
  <si>
    <t>TAG :</t>
  </si>
  <si>
    <t>PROJECT :</t>
  </si>
  <si>
    <t>PROJECT NUMBER :</t>
  </si>
  <si>
    <t>ENGINEER :</t>
  </si>
  <si>
    <t>DATE :</t>
  </si>
  <si>
    <t>MATERIAL PROPERTIES</t>
  </si>
  <si>
    <t>CODE :</t>
  </si>
  <si>
    <t>ACI318-99</t>
  </si>
  <si>
    <t>fc'</t>
  </si>
  <si>
    <t>=</t>
  </si>
  <si>
    <t>fy</t>
  </si>
  <si>
    <t>fvy</t>
  </si>
  <si>
    <t>ksc</t>
  </si>
  <si>
    <t>CODE</t>
  </si>
  <si>
    <t>No</t>
  </si>
  <si>
    <t>ACI318-11</t>
  </si>
  <si>
    <r>
      <rPr>
        <sz val="8"/>
        <color theme="1"/>
        <rFont val="Symbol"/>
        <family val="1"/>
        <charset val="2"/>
      </rPr>
      <t>b</t>
    </r>
    <r>
      <rPr>
        <vertAlign val="subscript"/>
        <sz val="8"/>
        <color theme="1"/>
        <rFont val="Arial"/>
        <family val="2"/>
      </rPr>
      <t>1</t>
    </r>
  </si>
  <si>
    <t>fr</t>
  </si>
  <si>
    <t>BEAM PROPERTIES</t>
  </si>
  <si>
    <t>Breath , b</t>
  </si>
  <si>
    <t>Depth , h</t>
  </si>
  <si>
    <t>cm</t>
  </si>
  <si>
    <t>d'</t>
  </si>
  <si>
    <t>Covering</t>
  </si>
  <si>
    <t>d+</t>
  </si>
  <si>
    <t>d-</t>
  </si>
  <si>
    <t>Ig</t>
  </si>
  <si>
    <r>
      <t>cm</t>
    </r>
    <r>
      <rPr>
        <vertAlign val="superscript"/>
        <sz val="8"/>
        <color theme="1"/>
        <rFont val="Arial"/>
        <family val="2"/>
      </rPr>
      <t>4</t>
    </r>
  </si>
  <si>
    <t>kg-m</t>
  </si>
  <si>
    <t>bar</t>
  </si>
  <si>
    <t>Tension Reinforced</t>
  </si>
  <si>
    <t>Layer 1 :</t>
  </si>
  <si>
    <t>Layer 2 :</t>
  </si>
  <si>
    <t>Layer 3 :</t>
  </si>
  <si>
    <t xml:space="preserve">A's prov'd </t>
  </si>
  <si>
    <t xml:space="preserve">As prov'd </t>
  </si>
  <si>
    <r>
      <t>cm</t>
    </r>
    <r>
      <rPr>
        <vertAlign val="superscript"/>
        <sz val="8"/>
        <color theme="1"/>
        <rFont val="Arial"/>
        <family val="2"/>
      </rPr>
      <t>2</t>
    </r>
  </si>
  <si>
    <t>SHEAR ANALYSIS</t>
  </si>
  <si>
    <t>Mu</t>
  </si>
  <si>
    <t>Vu</t>
  </si>
  <si>
    <t>kg</t>
  </si>
  <si>
    <r>
      <rPr>
        <i/>
        <sz val="8"/>
        <rFont val="Symbol"/>
        <family val="1"/>
        <charset val="2"/>
      </rPr>
      <t>f</t>
    </r>
    <r>
      <rPr>
        <i/>
        <sz val="8"/>
        <rFont val="Arial"/>
        <family val="2"/>
      </rPr>
      <t xml:space="preserve"> </t>
    </r>
  </si>
  <si>
    <r>
      <rPr>
        <i/>
        <sz val="8"/>
        <rFont val="Symbol"/>
        <family val="1"/>
        <charset val="2"/>
      </rPr>
      <t>f</t>
    </r>
    <r>
      <rPr>
        <i/>
        <sz val="8"/>
        <rFont val="Arial"/>
        <family val="2"/>
      </rPr>
      <t xml:space="preserve"> Vc </t>
    </r>
  </si>
  <si>
    <t>stirrup :</t>
  </si>
  <si>
    <t>no. of legs in 1 plane</t>
  </si>
  <si>
    <t>Bar No.</t>
  </si>
  <si>
    <t>Spacing (cm)</t>
  </si>
  <si>
    <t>Rebar Total</t>
  </si>
  <si>
    <t>r =</t>
  </si>
  <si>
    <r>
      <t>r</t>
    </r>
    <r>
      <rPr>
        <sz val="8"/>
        <color theme="1"/>
        <rFont val="Arial"/>
        <family val="2"/>
      </rPr>
      <t>'</t>
    </r>
    <r>
      <rPr>
        <sz val="8"/>
        <color theme="1"/>
        <rFont val="Tahoma"/>
        <family val="2"/>
        <scheme val="minor"/>
      </rPr>
      <t xml:space="preserve"> </t>
    </r>
    <r>
      <rPr>
        <sz val="8"/>
        <color theme="1"/>
        <rFont val="Symbol"/>
        <family val="1"/>
        <charset val="2"/>
      </rPr>
      <t>=</t>
    </r>
  </si>
  <si>
    <r>
      <rPr>
        <sz val="8"/>
        <color theme="1"/>
        <rFont val="Symbol"/>
        <family val="1"/>
        <charset val="2"/>
      </rPr>
      <t>r</t>
    </r>
    <r>
      <rPr>
        <sz val="8"/>
        <color theme="1"/>
        <rFont val="Arial"/>
        <family val="2"/>
      </rPr>
      <t>max</t>
    </r>
  </si>
  <si>
    <t>a</t>
  </si>
  <si>
    <t>cm.</t>
  </si>
  <si>
    <t>Mn</t>
  </si>
  <si>
    <r>
      <rPr>
        <b/>
        <sz val="8"/>
        <color theme="1"/>
        <rFont val="Symbol"/>
        <family val="1"/>
        <charset val="2"/>
      </rPr>
      <t>f</t>
    </r>
    <r>
      <rPr>
        <b/>
        <sz val="8"/>
        <color theme="1"/>
        <rFont val="Arial"/>
        <family val="2"/>
      </rPr>
      <t>Mn</t>
    </r>
  </si>
  <si>
    <t>RATIO</t>
  </si>
  <si>
    <r>
      <rPr>
        <i/>
        <sz val="8"/>
        <rFont val="Symbol"/>
        <family val="1"/>
        <charset val="2"/>
      </rPr>
      <t>f</t>
    </r>
    <r>
      <rPr>
        <i/>
        <sz val="8"/>
        <rFont val="Arial"/>
        <family val="2"/>
      </rPr>
      <t xml:space="preserve"> Vs</t>
    </r>
  </si>
  <si>
    <r>
      <rPr>
        <i/>
        <sz val="8"/>
        <rFont val="Symbol"/>
        <family val="1"/>
        <charset val="2"/>
      </rPr>
      <t>f</t>
    </r>
    <r>
      <rPr>
        <i/>
        <sz val="8"/>
        <rFont val="Arial"/>
        <family val="2"/>
      </rPr>
      <t xml:space="preserve"> Vs </t>
    </r>
    <r>
      <rPr>
        <i/>
        <sz val="8"/>
        <rFont val="Arial"/>
        <family val="1"/>
        <charset val="2"/>
      </rPr>
      <t>max</t>
    </r>
  </si>
  <si>
    <t>Av</t>
  </si>
  <si>
    <t>stirrup</t>
  </si>
  <si>
    <t>(Maximum)</t>
  </si>
  <si>
    <t>s max from Vs</t>
  </si>
  <si>
    <t>s max from Av</t>
  </si>
  <si>
    <t>As min</t>
  </si>
  <si>
    <r>
      <t xml:space="preserve">r </t>
    </r>
    <r>
      <rPr>
        <sz val="8"/>
        <color theme="1"/>
        <rFont val="Arial"/>
        <family val="2"/>
      </rPr>
      <t>min</t>
    </r>
    <r>
      <rPr>
        <sz val="8"/>
        <color theme="1"/>
        <rFont val="Symbol"/>
        <family val="1"/>
        <charset val="2"/>
      </rPr>
      <t xml:space="preserve"> =</t>
    </r>
  </si>
  <si>
    <t>ระยะเรียง</t>
  </si>
  <si>
    <t>CRACK WIDTH CHECK</t>
  </si>
  <si>
    <t>fs</t>
  </si>
  <si>
    <t>Cc</t>
  </si>
  <si>
    <t>s</t>
  </si>
  <si>
    <t>n</t>
  </si>
  <si>
    <t xml:space="preserve">Ec </t>
  </si>
  <si>
    <t xml:space="preserve">Es </t>
  </si>
  <si>
    <t>B</t>
  </si>
  <si>
    <t>r</t>
  </si>
  <si>
    <t>x</t>
  </si>
  <si>
    <t>Icr</t>
  </si>
  <si>
    <t>Covering + Stirup =</t>
  </si>
  <si>
    <t>Section Area =</t>
  </si>
  <si>
    <t>Ig =</t>
  </si>
  <si>
    <t>Mcr =</t>
  </si>
  <si>
    <r>
      <t>M</t>
    </r>
    <r>
      <rPr>
        <vertAlign val="subscript"/>
        <sz val="8"/>
        <color theme="1"/>
        <rFont val="Arial"/>
        <family val="2"/>
      </rPr>
      <t xml:space="preserve"> DL Service</t>
    </r>
  </si>
  <si>
    <r>
      <t xml:space="preserve">M </t>
    </r>
    <r>
      <rPr>
        <vertAlign val="subscript"/>
        <sz val="8"/>
        <color theme="1"/>
        <rFont val="Arial"/>
        <family val="2"/>
      </rPr>
      <t>LL Service</t>
    </r>
  </si>
  <si>
    <t>POSITIVE BENDING MOMENT ANALYSIS</t>
  </si>
  <si>
    <t>NEGATIVE BENDING MOMENT ANALYSIS</t>
  </si>
  <si>
    <t>ชนิดคาน</t>
  </si>
  <si>
    <t>คานช่วงเดียว</t>
  </si>
  <si>
    <t>คานต่อเนื่องตัวริม</t>
  </si>
  <si>
    <t>คานต่อเนื่องตัวกลาง</t>
  </si>
  <si>
    <t>Im</t>
  </si>
  <si>
    <t>Ie1</t>
  </si>
  <si>
    <t>ie2</t>
  </si>
  <si>
    <t>สมการคำนวณ Ie</t>
  </si>
  <si>
    <t>-M ที่จุดรองรับ</t>
  </si>
  <si>
    <t>+M ที่กลางคาน</t>
  </si>
  <si>
    <t>คานยื่น</t>
  </si>
  <si>
    <t>** หากเป็นคานต่อเนื่องให้กด '+' ด้านซ้ายเพื่อคำนวณเหล็กรับ NEGATIVE MOMENT,  หากเป็นคานยื่นให้คำนวณใน POSITIVE  MOMENT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</si>
  <si>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Arial"/>
        <family val="2"/>
      </rPr>
      <t>DL</t>
    </r>
  </si>
  <si>
    <t>ระยะ L</t>
  </si>
  <si>
    <t>m.</t>
  </si>
  <si>
    <t>การแอ่นตัวทันที</t>
  </si>
  <si>
    <r>
      <t xml:space="preserve">คำนวณ </t>
    </r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Arial"/>
        <family val="2"/>
      </rPr>
      <t xml:space="preserve"> (cm)</t>
    </r>
  </si>
  <si>
    <t>DEFLECTION CHECK (ใช้ได้เฉพาะ Uniform Load)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</si>
  <si>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Arial"/>
        <family val="2"/>
      </rPr>
      <t>LL</t>
    </r>
  </si>
  <si>
    <r>
      <t>Mcr/Ma</t>
    </r>
    <r>
      <rPr>
        <vertAlign val="subscript"/>
        <sz val="8"/>
        <color theme="1"/>
        <rFont val="Arial"/>
        <family val="2"/>
      </rPr>
      <t>(DL+LL)</t>
    </r>
  </si>
  <si>
    <r>
      <t>Mcr/Ma</t>
    </r>
    <r>
      <rPr>
        <vertAlign val="subscript"/>
        <sz val="8"/>
        <color theme="1"/>
        <rFont val="Arial"/>
        <family val="2"/>
      </rPr>
      <t>DL</t>
    </r>
  </si>
  <si>
    <r>
      <t>Ma</t>
    </r>
    <r>
      <rPr>
        <vertAlign val="subscript"/>
        <sz val="8"/>
        <color theme="1"/>
        <rFont val="Arial"/>
        <family val="2"/>
      </rPr>
      <t>DL+LL</t>
    </r>
  </si>
  <si>
    <r>
      <t>(Mcr/Ma</t>
    </r>
    <r>
      <rPr>
        <vertAlign val="subscript"/>
        <sz val="8"/>
        <color theme="1"/>
        <rFont val="Arial"/>
        <family val="2"/>
      </rPr>
      <t>DL</t>
    </r>
    <r>
      <rPr>
        <sz val="8"/>
        <color theme="1"/>
        <rFont val="Arial"/>
        <family val="2"/>
      </rPr>
      <t>)</t>
    </r>
    <r>
      <rPr>
        <vertAlign val="superscript"/>
        <sz val="8"/>
        <color theme="1"/>
        <rFont val="Arial"/>
        <family val="2"/>
      </rPr>
      <t>3</t>
    </r>
  </si>
  <si>
    <r>
      <t>(Mcr/Ma</t>
    </r>
    <r>
      <rPr>
        <vertAlign val="subscript"/>
        <sz val="8"/>
        <color theme="1"/>
        <rFont val="Arial"/>
        <family val="2"/>
      </rPr>
      <t>(DL+LL)</t>
    </r>
    <r>
      <rPr>
        <sz val="8"/>
        <color theme="1"/>
        <rFont val="Arial"/>
        <family val="2"/>
      </rPr>
      <t>)</t>
    </r>
    <r>
      <rPr>
        <vertAlign val="superscript"/>
        <sz val="8"/>
        <color theme="1"/>
        <rFont val="Arial"/>
        <family val="2"/>
      </rPr>
      <t>3</t>
    </r>
  </si>
  <si>
    <r>
      <t>Ma</t>
    </r>
    <r>
      <rPr>
        <vertAlign val="subscript"/>
        <sz val="8"/>
        <color theme="1"/>
        <rFont val="Arial"/>
        <family val="2"/>
      </rPr>
      <t>DL</t>
    </r>
  </si>
  <si>
    <r>
      <t>Ie</t>
    </r>
    <r>
      <rPr>
        <vertAlign val="subscript"/>
        <sz val="8"/>
        <color theme="1"/>
        <rFont val="Arial"/>
        <family val="2"/>
      </rPr>
      <t>DL</t>
    </r>
  </si>
  <si>
    <r>
      <t>Ie</t>
    </r>
    <r>
      <rPr>
        <vertAlign val="subscript"/>
        <sz val="8"/>
        <color theme="1"/>
        <rFont val="Arial"/>
        <family val="2"/>
      </rPr>
      <t>(DL+LL)</t>
    </r>
  </si>
  <si>
    <t>DL</t>
  </si>
  <si>
    <t>LL</t>
  </si>
  <si>
    <t>คำนวณ w  (kg/cm)</t>
  </si>
  <si>
    <r>
      <t>Ie</t>
    </r>
    <r>
      <rPr>
        <b/>
        <vertAlign val="subscript"/>
        <sz val="8"/>
        <color theme="1"/>
        <rFont val="Arial"/>
        <family val="2"/>
      </rPr>
      <t>DL</t>
    </r>
  </si>
  <si>
    <r>
      <t>Ie</t>
    </r>
    <r>
      <rPr>
        <b/>
        <vertAlign val="subscript"/>
        <sz val="8"/>
        <color theme="1"/>
        <rFont val="Arial"/>
        <family val="2"/>
      </rPr>
      <t>(DL+LL)</t>
    </r>
  </si>
  <si>
    <t>DL+LL</t>
  </si>
  <si>
    <r>
      <rPr>
        <sz val="8"/>
        <color theme="1"/>
        <rFont val="Symbol"/>
        <family val="1"/>
        <charset val="2"/>
      </rPr>
      <t>D(</t>
    </r>
    <r>
      <rPr>
        <sz val="8"/>
        <color theme="1"/>
        <rFont val="Arial"/>
        <family val="2"/>
      </rPr>
      <t>DL</t>
    </r>
    <r>
      <rPr>
        <sz val="8"/>
        <color theme="1"/>
        <rFont val="Arial"/>
        <family val="1"/>
        <charset val="2"/>
      </rPr>
      <t>+LL)</t>
    </r>
  </si>
  <si>
    <t>(ให้ใส่ค่าเป็นบวก, หากเป็น 'คานช่วงเดียว / คานยื่น' ให้ใส่ 0)</t>
  </si>
  <si>
    <t>Live Sustain Load</t>
  </si>
  <si>
    <r>
      <t>Mcr/Ma</t>
    </r>
    <r>
      <rPr>
        <vertAlign val="subscript"/>
        <sz val="8"/>
        <color theme="1"/>
        <rFont val="Arial"/>
        <family val="2"/>
      </rPr>
      <t>(Sustain)</t>
    </r>
  </si>
  <si>
    <r>
      <t>Ma</t>
    </r>
    <r>
      <rPr>
        <vertAlign val="subscript"/>
        <sz val="8"/>
        <color theme="1"/>
        <rFont val="Arial"/>
        <family val="2"/>
      </rPr>
      <t>(Sustain)</t>
    </r>
  </si>
  <si>
    <r>
      <t>Ie</t>
    </r>
    <r>
      <rPr>
        <b/>
        <vertAlign val="subscript"/>
        <sz val="8"/>
        <color theme="1"/>
        <rFont val="Arial"/>
        <family val="2"/>
      </rPr>
      <t>(Sustain)</t>
    </r>
  </si>
  <si>
    <t>Sustain</t>
  </si>
  <si>
    <t>ชนิดคานในการคำนวณ Deflection</t>
  </si>
  <si>
    <r>
      <t>Ie</t>
    </r>
    <r>
      <rPr>
        <vertAlign val="subscript"/>
        <sz val="8"/>
        <color theme="1"/>
        <rFont val="Arial"/>
        <family val="2"/>
      </rPr>
      <t>(Sustain)</t>
    </r>
  </si>
  <si>
    <t>การแอ่นตัวระยะยาว</t>
  </si>
  <si>
    <t>l</t>
  </si>
  <si>
    <r>
      <rPr>
        <sz val="8"/>
        <color theme="1"/>
        <rFont val="Symbol"/>
        <family val="1"/>
        <charset val="2"/>
      </rPr>
      <t>D</t>
    </r>
    <r>
      <rPr>
        <vertAlign val="subscript"/>
        <sz val="8"/>
        <color theme="1"/>
        <rFont val="Arial"/>
        <family val="2"/>
      </rPr>
      <t xml:space="preserve">sustain </t>
    </r>
    <r>
      <rPr>
        <sz val="8"/>
        <color theme="1"/>
        <rFont val="Arial"/>
        <family val="2"/>
      </rPr>
      <t>Initial</t>
    </r>
  </si>
  <si>
    <r>
      <rPr>
        <sz val="8"/>
        <color theme="1"/>
        <rFont val="Symbol"/>
        <family val="1"/>
        <charset val="2"/>
      </rPr>
      <t>D</t>
    </r>
    <r>
      <rPr>
        <vertAlign val="subscript"/>
        <sz val="8"/>
        <color theme="1"/>
        <rFont val="Arial"/>
        <family val="2"/>
      </rPr>
      <t>sustain</t>
    </r>
    <r>
      <rPr>
        <sz val="8"/>
        <color theme="1"/>
        <rFont val="Arial"/>
        <family val="1"/>
        <charset val="2"/>
      </rPr>
      <t xml:space="preserve"> Long </t>
    </r>
  </si>
  <si>
    <t>ตรวจสอบค่าสูงสุดที่ยอมให้ของระยะโก่งที่คำนวณได้</t>
  </si>
  <si>
    <t>ชนิดขององค์อาคาร :</t>
  </si>
  <si>
    <t>ค่าสูงสุดที่ยอมให้ของระยะแอ่นตัวที่คำนวณได้</t>
  </si>
  <si>
    <t>ชนิดองค์อาคาร</t>
  </si>
  <si>
    <t>หลังคาที่ไม่รองรับหรือติดกับส่วนที่มิใช่โครงสร้าง ที่คาดว่าจะเกิดการเสียหายจากการแอ่นตัวมากเกินควร</t>
  </si>
  <si>
    <t>พื้นที่ไม่รองรับหรือติดกับส่วนที่มิใช่โครงสร้างที่คาดว่าจะเกิดการเสียหายจากการแอ่นตัวมากเกินควร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</si>
  <si>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Arial"/>
        <family val="2"/>
      </rPr>
      <t>LL</t>
    </r>
    <r>
      <rPr>
        <sz val="8"/>
        <color theme="1"/>
        <rFont val="Arial"/>
        <family val="1"/>
        <charset val="2"/>
      </rPr>
      <t xml:space="preserve"> </t>
    </r>
    <r>
      <rPr>
        <vertAlign val="subscript"/>
        <sz val="8"/>
        <color theme="1"/>
        <rFont val="Arial"/>
        <family val="2"/>
      </rPr>
      <t>(Not Sustain)</t>
    </r>
  </si>
  <si>
    <t>หลังคาหรือพื้นที่รองรับหรือติดกับส่วนที่มิใช่โครงสร้างที่คาดว่าจะเสียหายจากการแอ่นตัวมากเกินควร</t>
  </si>
  <si>
    <t>หลังคาหรือพื้นที่รองรับหรือติดกับส่วนที่มิใช่โครงสร้างที่คาดว่าจะไม่เกิดการเสียหายจากการแอ่นตัวมากเกินควร</t>
  </si>
  <si>
    <t>พิกัดระยะแอ่น</t>
  </si>
  <si>
    <t>L/180</t>
  </si>
  <si>
    <t>L/360</t>
  </si>
  <si>
    <t>L/480</t>
  </si>
  <si>
    <t>L/240</t>
  </si>
  <si>
    <t>ตวจสอบพิกัดการแอ่นตัวทันทีจากน้ำหนักบรรทุกจร</t>
  </si>
  <si>
    <t xml:space="preserve">พิกัดระยะแอ่น </t>
  </si>
  <si>
    <t>ระยะแอ่นที่ยอมให้ (cm)</t>
  </si>
  <si>
    <t>ตวจสอบพิกัดการแอ่นตัวทันทีจากน้ำหนักบรรทุกรวมทั้งหมด</t>
  </si>
  <si>
    <t>Rebar (mm)</t>
  </si>
  <si>
    <t>Rebar  (mm)</t>
  </si>
  <si>
    <r>
      <rPr>
        <sz val="8"/>
        <color theme="1"/>
        <rFont val="Symbol"/>
        <family val="1"/>
        <charset val="2"/>
      </rPr>
      <t>D</t>
    </r>
    <r>
      <rPr>
        <vertAlign val="subscript"/>
        <sz val="8"/>
        <color theme="1"/>
        <rFont val="Arial"/>
        <family val="2"/>
      </rPr>
      <t>total</t>
    </r>
  </si>
  <si>
    <t>Page 2</t>
  </si>
  <si>
    <t>Page 3</t>
  </si>
  <si>
    <t>Page 1</t>
  </si>
  <si>
    <t>Rebar mm)</t>
  </si>
  <si>
    <t>ระยะห่างระหว่างเหล็ก Min =</t>
  </si>
  <si>
    <t>d</t>
  </si>
  <si>
    <r>
      <t>(Mcr/Ma</t>
    </r>
    <r>
      <rPr>
        <vertAlign val="subscript"/>
        <sz val="8"/>
        <color theme="1"/>
        <rFont val="Arial"/>
        <family val="2"/>
      </rPr>
      <t>(Sustain)</t>
    </r>
    <r>
      <rPr>
        <sz val="8"/>
        <color theme="1"/>
        <rFont val="Arial"/>
        <family val="2"/>
      </rPr>
      <t>)</t>
    </r>
    <r>
      <rPr>
        <vertAlign val="superscript"/>
        <sz val="8"/>
        <color theme="1"/>
        <rFont val="Arial"/>
        <family val="2"/>
      </rPr>
      <t>3</t>
    </r>
  </si>
  <si>
    <t>Compression Reinforced (For Calculate Deflection Only)</t>
  </si>
  <si>
    <t>Ru</t>
  </si>
  <si>
    <r>
      <t>kg/cm</t>
    </r>
    <r>
      <rPr>
        <vertAlign val="superscript"/>
        <sz val="8"/>
        <color theme="1"/>
        <rFont val="Arial"/>
        <family val="2"/>
      </rPr>
      <t>2</t>
    </r>
  </si>
  <si>
    <r>
      <rPr>
        <sz val="8"/>
        <color theme="1"/>
        <rFont val="Symbol"/>
        <family val="1"/>
        <charset val="2"/>
      </rPr>
      <t>r</t>
    </r>
    <r>
      <rPr>
        <sz val="8"/>
        <color theme="1"/>
        <rFont val="Arial"/>
        <family val="2"/>
      </rPr>
      <t>req</t>
    </r>
  </si>
  <si>
    <t>As Req</t>
  </si>
  <si>
    <r>
      <t xml:space="preserve">r </t>
    </r>
    <r>
      <rPr>
        <sz val="8"/>
        <color theme="1"/>
        <rFont val="Arial"/>
        <family val="2"/>
      </rPr>
      <t>max</t>
    </r>
    <r>
      <rPr>
        <sz val="8"/>
        <color theme="1"/>
        <rFont val="Symbol"/>
        <family val="1"/>
        <charset val="2"/>
      </rPr>
      <t xml:space="preserve"> =</t>
    </r>
  </si>
  <si>
    <t>As max</t>
  </si>
  <si>
    <t>RC SINGLY  BEAM DESIGN</t>
  </si>
  <si>
    <t>f</t>
  </si>
  <si>
    <t>ACI318-14</t>
  </si>
  <si>
    <t>ACI318-19</t>
  </si>
  <si>
    <r>
      <rPr>
        <b/>
        <u/>
        <sz val="8"/>
        <color theme="1"/>
        <rFont val="Symbol"/>
        <family val="1"/>
        <charset val="2"/>
      </rPr>
      <t>e</t>
    </r>
    <r>
      <rPr>
        <b/>
        <u/>
        <vertAlign val="subscript"/>
        <sz val="8"/>
        <color theme="1"/>
        <rFont val="Arial"/>
        <family val="2"/>
      </rPr>
      <t>t</t>
    </r>
    <r>
      <rPr>
        <b/>
        <u/>
        <sz val="8"/>
        <color theme="1"/>
        <rFont val="Arial"/>
        <family val="1"/>
        <charset val="2"/>
      </rPr>
      <t xml:space="preserve"> Calculation</t>
    </r>
  </si>
  <si>
    <r>
      <rPr>
        <sz val="8"/>
        <color theme="1"/>
        <rFont val="Symbol"/>
        <family val="1"/>
        <charset val="2"/>
      </rPr>
      <t>e</t>
    </r>
    <r>
      <rPr>
        <vertAlign val="subscript"/>
        <sz val="8"/>
        <color theme="1"/>
        <rFont val="Arial"/>
        <family val="2"/>
      </rPr>
      <t>cu</t>
    </r>
    <r>
      <rPr>
        <sz val="8"/>
        <color theme="1"/>
        <rFont val="Arial"/>
        <family val="1"/>
        <charset val="2"/>
      </rPr>
      <t xml:space="preserve"> =</t>
    </r>
  </si>
  <si>
    <t>mm./mm.</t>
  </si>
  <si>
    <t>c =</t>
  </si>
  <si>
    <r>
      <t>d</t>
    </r>
    <r>
      <rPr>
        <vertAlign val="subscript"/>
        <sz val="8"/>
        <color theme="1"/>
        <rFont val="Arial"/>
        <family val="2"/>
      </rPr>
      <t>t</t>
    </r>
    <r>
      <rPr>
        <sz val="8"/>
        <color theme="1"/>
        <rFont val="Arial"/>
        <family val="2"/>
      </rPr>
      <t xml:space="preserve"> =</t>
    </r>
  </si>
  <si>
    <r>
      <rPr>
        <sz val="8"/>
        <color theme="1"/>
        <rFont val="Symbol"/>
        <family val="1"/>
        <charset val="2"/>
      </rPr>
      <t>e</t>
    </r>
    <r>
      <rPr>
        <vertAlign val="subscript"/>
        <sz val="8"/>
        <color theme="1"/>
        <rFont val="Arial"/>
        <family val="2"/>
      </rPr>
      <t>t</t>
    </r>
    <r>
      <rPr>
        <sz val="8"/>
        <color theme="1"/>
        <rFont val="Arial"/>
        <family val="1"/>
        <charset val="2"/>
      </rPr>
      <t xml:space="preserve"> =</t>
    </r>
  </si>
  <si>
    <t>ACI318-99, EIT 1008-38</t>
  </si>
  <si>
    <r>
      <rPr>
        <sz val="8"/>
        <color theme="1"/>
        <rFont val="Symbol"/>
        <family val="1"/>
        <charset val="2"/>
      </rPr>
      <t>e</t>
    </r>
    <r>
      <rPr>
        <vertAlign val="subscript"/>
        <sz val="8"/>
        <color theme="1"/>
        <rFont val="Arial"/>
        <family val="2"/>
      </rPr>
      <t>ty</t>
    </r>
    <r>
      <rPr>
        <sz val="8"/>
        <color theme="1"/>
        <rFont val="Arial"/>
        <family val="1"/>
        <charset val="2"/>
      </rPr>
      <t xml:space="preserve"> =</t>
    </r>
  </si>
  <si>
    <t>Positive Bending Moment</t>
  </si>
  <si>
    <t>Positive Bending</t>
  </si>
  <si>
    <t>Negative Bending</t>
  </si>
  <si>
    <r>
      <rPr>
        <sz val="8"/>
        <color theme="1"/>
        <rFont val="Symbol"/>
        <family val="1"/>
        <charset val="2"/>
      </rPr>
      <t>r</t>
    </r>
    <r>
      <rPr>
        <sz val="8"/>
        <color theme="1"/>
        <rFont val="Arial"/>
        <family val="2"/>
      </rPr>
      <t>min</t>
    </r>
  </si>
  <si>
    <t>Shear</t>
  </si>
  <si>
    <t>Negative' Bending Moment</t>
  </si>
  <si>
    <t>รับน้ำหนักได้</t>
  </si>
  <si>
    <t>B1,B3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</si>
</sst>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7" formatCode="_(* #,##0.00_);_(* \(#,##0.00\);_(* &quot;-&quot;??_);_(@_)"/>
    <numFmt numFmtId="188" formatCode="0.00000"/>
    <numFmt numFmtId="189" formatCode="0.0000"/>
    <numFmt numFmtId="190" formatCode="0.000"/>
    <numFmt numFmtId="191" formatCode="0.0"/>
    <numFmt numFmtId="192" formatCode="#,##0.000"/>
  </numFmts>
  <fonts count="27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Symbol"/>
      <family val="1"/>
      <charset val="2"/>
    </font>
    <font>
      <vertAlign val="subscript"/>
      <sz val="8"/>
      <color theme="1"/>
      <name val="Arial"/>
      <family val="2"/>
    </font>
    <font>
      <sz val="8"/>
      <color theme="1"/>
      <name val="Arial"/>
      <family val="1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8"/>
      <color theme="1"/>
      <name val="Arial"/>
      <family val="2"/>
    </font>
    <font>
      <u/>
      <sz val="8"/>
      <color theme="1"/>
      <name val="Arial"/>
      <family val="2"/>
    </font>
    <font>
      <i/>
      <sz val="8"/>
      <name val="Arial"/>
      <family val="2"/>
    </font>
    <font>
      <i/>
      <sz val="8"/>
      <name val="Symbol"/>
      <family val="1"/>
      <charset val="2"/>
    </font>
    <font>
      <i/>
      <sz val="8"/>
      <name val="Arial"/>
      <family val="1"/>
      <charset val="2"/>
    </font>
    <font>
      <sz val="8"/>
      <color theme="1"/>
      <name val="Tahoma"/>
      <family val="2"/>
      <scheme val="minor"/>
    </font>
    <font>
      <i/>
      <sz val="8"/>
      <color theme="1"/>
      <name val="Arial"/>
      <family val="2"/>
    </font>
    <font>
      <b/>
      <sz val="8"/>
      <color theme="1"/>
      <name val="Symbol"/>
      <family val="1"/>
      <charset val="2"/>
    </font>
    <font>
      <b/>
      <sz val="8"/>
      <color theme="1"/>
      <name val="Arial"/>
      <family val="1"/>
      <charset val="2"/>
    </font>
    <font>
      <b/>
      <sz val="8"/>
      <name val="Arial"/>
      <family val="2"/>
    </font>
    <font>
      <b/>
      <vertAlign val="subscript"/>
      <sz val="8"/>
      <color theme="1"/>
      <name val="Arial"/>
      <family val="2"/>
    </font>
    <font>
      <b/>
      <u/>
      <sz val="8"/>
      <color theme="1"/>
      <name val="Arial"/>
      <family val="2"/>
    </font>
    <font>
      <b/>
      <i/>
      <u/>
      <sz val="14"/>
      <color theme="1"/>
      <name val="Arial"/>
      <family val="2"/>
    </font>
    <font>
      <b/>
      <u/>
      <sz val="8"/>
      <color theme="1"/>
      <name val="Arial"/>
      <family val="1"/>
      <charset val="2"/>
    </font>
    <font>
      <b/>
      <u/>
      <sz val="8"/>
      <color theme="1"/>
      <name val="Symbol"/>
      <family val="1"/>
      <charset val="2"/>
    </font>
    <font>
      <b/>
      <u/>
      <vertAlign val="subscript"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8" fillId="0" borderId="0" xfId="0" applyFont="1"/>
    <xf numFmtId="2" fontId="3" fillId="0" borderId="0" xfId="0" applyNumberFormat="1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/>
    <xf numFmtId="188" fontId="3" fillId="0" borderId="0" xfId="0" applyNumberFormat="1" applyFont="1" applyAlignment="1">
      <alignment horizontal="center"/>
    </xf>
    <xf numFmtId="189" fontId="3" fillId="0" borderId="0" xfId="0" applyNumberFormat="1" applyFont="1" applyAlignment="1">
      <alignment horizontal="center"/>
    </xf>
    <xf numFmtId="19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87" fontId="3" fillId="0" borderId="0" xfId="1" applyFont="1"/>
    <xf numFmtId="0" fontId="3" fillId="0" borderId="10" xfId="0" applyFont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191" fontId="3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right"/>
    </xf>
    <xf numFmtId="0" fontId="12" fillId="0" borderId="0" xfId="0" applyFont="1"/>
    <xf numFmtId="0" fontId="6" fillId="0" borderId="0" xfId="0" applyFont="1"/>
    <xf numFmtId="0" fontId="17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19" fillId="0" borderId="2" xfId="0" applyFont="1" applyBorder="1"/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2" fontId="20" fillId="0" borderId="13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4" fillId="0" borderId="3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90" fontId="3" fillId="0" borderId="0" xfId="0" applyNumberFormat="1" applyFont="1"/>
    <xf numFmtId="191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2" borderId="0" xfId="0" applyFont="1" applyFill="1"/>
    <xf numFmtId="2" fontId="2" fillId="0" borderId="13" xfId="0" applyNumberFormat="1" applyFont="1" applyBorder="1" applyAlignment="1">
      <alignment horizontal="center"/>
    </xf>
    <xf numFmtId="0" fontId="3" fillId="0" borderId="1" xfId="0" applyFont="1" applyBorder="1"/>
    <xf numFmtId="2" fontId="3" fillId="0" borderId="8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4" borderId="1" xfId="0" applyFont="1" applyFill="1" applyBorder="1"/>
    <xf numFmtId="3" fontId="3" fillId="0" borderId="1" xfId="0" applyNumberFormat="1" applyFont="1" applyBorder="1" applyAlignment="1">
      <alignment horizontal="center"/>
    </xf>
    <xf numFmtId="0" fontId="17" fillId="0" borderId="3" xfId="0" applyFont="1" applyBorder="1"/>
    <xf numFmtId="3" fontId="3" fillId="0" borderId="1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2" xfId="0" quotePrefix="1" applyFont="1" applyBorder="1"/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192" fontId="3" fillId="0" borderId="0" xfId="0" applyNumberFormat="1" applyFont="1" applyAlignment="1">
      <alignment horizontal="center"/>
    </xf>
    <xf numFmtId="0" fontId="23" fillId="0" borderId="0" xfId="0" applyFont="1"/>
    <xf numFmtId="0" fontId="8" fillId="0" borderId="0" xfId="0" applyFont="1" applyAlignment="1">
      <alignment horizontal="right"/>
    </xf>
    <xf numFmtId="0" fontId="22" fillId="0" borderId="0" xfId="0" applyFont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4" fillId="0" borderId="22" xfId="0" applyFont="1" applyBorder="1"/>
    <xf numFmtId="0" fontId="3" fillId="0" borderId="23" xfId="0" applyFont="1" applyBorder="1"/>
    <xf numFmtId="0" fontId="17" fillId="0" borderId="20" xfId="0" applyFont="1" applyBorder="1"/>
    <xf numFmtId="0" fontId="4" fillId="0" borderId="18" xfId="0" applyFont="1" applyBorder="1" applyAlignment="1">
      <alignment horizontal="right"/>
    </xf>
    <xf numFmtId="0" fontId="3" fillId="0" borderId="24" xfId="0" applyFont="1" applyBorder="1"/>
    <xf numFmtId="0" fontId="3" fillId="0" borderId="25" xfId="0" applyFont="1" applyBorder="1"/>
    <xf numFmtId="0" fontId="3" fillId="0" borderId="25" xfId="0" applyFont="1" applyBorder="1" applyAlignment="1">
      <alignment horizontal="center"/>
    </xf>
    <xf numFmtId="0" fontId="2" fillId="0" borderId="26" xfId="0" applyFont="1" applyBorder="1"/>
    <xf numFmtId="0" fontId="4" fillId="0" borderId="18" xfId="0" applyFont="1" applyBorder="1"/>
    <xf numFmtId="0" fontId="3" fillId="0" borderId="26" xfId="0" applyFont="1" applyBorder="1"/>
    <xf numFmtId="0" fontId="2" fillId="0" borderId="19" xfId="0" applyFont="1" applyBorder="1"/>
    <xf numFmtId="0" fontId="2" fillId="0" borderId="25" xfId="0" applyFont="1" applyBorder="1"/>
    <xf numFmtId="0" fontId="2" fillId="0" borderId="25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19" fillId="0" borderId="0" xfId="0" applyFont="1"/>
    <xf numFmtId="3" fontId="2" fillId="0" borderId="0" xfId="0" applyNumberFormat="1" applyFont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24" fillId="0" borderId="2" xfId="0" applyFont="1" applyBorder="1"/>
    <xf numFmtId="0" fontId="8" fillId="0" borderId="5" xfId="0" applyFont="1" applyBorder="1"/>
    <xf numFmtId="0" fontId="8" fillId="0" borderId="7" xfId="0" applyFont="1" applyBorder="1"/>
    <xf numFmtId="188" fontId="3" fillId="0" borderId="1" xfId="0" applyNumberFormat="1" applyFont="1" applyBorder="1" applyAlignment="1">
      <alignment horizontal="center"/>
    </xf>
    <xf numFmtId="188" fontId="3" fillId="0" borderId="8" xfId="0" applyNumberFormat="1" applyFont="1" applyBorder="1" applyAlignment="1">
      <alignment horizontal="center"/>
    </xf>
    <xf numFmtId="0" fontId="12" fillId="0" borderId="5" xfId="0" applyFont="1" applyBorder="1"/>
    <xf numFmtId="0" fontId="8" fillId="3" borderId="1" xfId="0" applyFont="1" applyFill="1" applyBorder="1" applyAlignment="1">
      <alignment horizontal="center"/>
    </xf>
    <xf numFmtId="187" fontId="3" fillId="0" borderId="0" xfId="0" applyNumberFormat="1" applyFont="1"/>
    <xf numFmtId="0" fontId="23" fillId="0" borderId="15" xfId="0" applyFont="1" applyBorder="1"/>
    <xf numFmtId="14" fontId="3" fillId="2" borderId="0" xfId="0" applyNumberFormat="1" applyFont="1" applyFill="1" applyAlignment="1">
      <alignment horizontal="left"/>
    </xf>
    <xf numFmtId="0" fontId="23" fillId="0" borderId="18" xfId="0" applyFont="1" applyBorder="1"/>
    <xf numFmtId="0" fontId="2" fillId="0" borderId="18" xfId="0" applyFont="1" applyBorder="1"/>
    <xf numFmtId="0" fontId="2" fillId="0" borderId="8" xfId="0" applyFont="1" applyBorder="1"/>
    <xf numFmtId="3" fontId="2" fillId="0" borderId="8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rgb="FFFF0000"/>
      </font>
      <fill>
        <patternFill patternType="none">
          <bgColor auto="1"/>
        </patternFill>
      </fill>
    </dxf>
    <dxf>
      <font>
        <b/>
        <i/>
        <color rgb="FFFF0000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342900</xdr:colOff>
          <xdr:row>16</xdr:row>
          <xdr:rowOff>76200</xdr:rowOff>
        </xdr:from>
        <xdr:to>
          <xdr:col>6</xdr:col>
          <xdr:colOff>257175</xdr:colOff>
          <xdr:row>24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7DEF-1E2E-4310-9AFE-AB3F45DAAB85}">
  <dimension ref="A1:AG184"/>
  <sheetViews>
    <sheetView tabSelected="1" view="pageBreakPreview" zoomScaleNormal="100" zoomScaleSheetLayoutView="100" workbookViewId="0">
      <selection activeCell="J18" sqref="J18"/>
    </sheetView>
  </sheetViews>
  <sheetFormatPr defaultColWidth="9.125" defaultRowHeight="11.25" outlineLevelRow="2"/>
  <cols>
    <col min="1" max="1" width="6.5" style="1" customWidth="1"/>
    <col min="2" max="2" width="10.5" style="1" customWidth="1"/>
    <col min="3" max="3" width="4.5" style="1" customWidth="1"/>
    <col min="4" max="4" width="9.875" style="1" customWidth="1"/>
    <col min="5" max="5" width="8" style="1" customWidth="1"/>
    <col min="6" max="6" width="9.625" style="1" customWidth="1"/>
    <col min="7" max="7" width="7.625" style="1" customWidth="1"/>
    <col min="8" max="8" width="3.375" style="1" customWidth="1"/>
    <col min="9" max="9" width="11.875" style="1" customWidth="1"/>
    <col min="10" max="10" width="10" style="1" bestFit="1" customWidth="1"/>
    <col min="11" max="11" width="8.25" style="1" customWidth="1"/>
    <col min="12" max="23" width="9.125" style="1"/>
    <col min="24" max="24" width="14.375" style="1" bestFit="1" customWidth="1"/>
    <col min="25" max="25" width="13.625" style="1" bestFit="1" customWidth="1"/>
    <col min="26" max="26" width="16.5" style="1" bestFit="1" customWidth="1"/>
    <col min="27" max="27" width="12.875" style="1" bestFit="1" customWidth="1"/>
    <col min="28" max="28" width="11.625" style="1" bestFit="1" customWidth="1"/>
    <col min="29" max="29" width="13.625" style="1" bestFit="1" customWidth="1"/>
    <col min="30" max="30" width="10.625" style="1" bestFit="1" customWidth="1"/>
    <col min="31" max="31" width="11.625" style="1" bestFit="1" customWidth="1"/>
    <col min="32" max="32" width="13.625" style="1" bestFit="1" customWidth="1"/>
    <col min="33" max="33" width="10.625" style="1" bestFit="1" customWidth="1"/>
    <col min="34" max="16384" width="9.125" style="1"/>
  </cols>
  <sheetData>
    <row r="1" spans="1:33" ht="18.75">
      <c r="A1" s="113" t="s">
        <v>166</v>
      </c>
      <c r="B1" s="80"/>
      <c r="C1" s="80"/>
      <c r="D1" s="80"/>
      <c r="E1" s="80"/>
      <c r="F1" s="80"/>
      <c r="G1" s="80"/>
      <c r="H1" s="80"/>
      <c r="I1" s="80"/>
      <c r="J1" s="80"/>
      <c r="K1" s="81"/>
      <c r="W1" s="78" t="s">
        <v>13</v>
      </c>
      <c r="Y1" s="8" t="s">
        <v>179</v>
      </c>
      <c r="Z1" s="8" t="s">
        <v>180</v>
      </c>
      <c r="AA1" s="1" t="s">
        <v>182</v>
      </c>
    </row>
    <row r="2" spans="1:33">
      <c r="A2" s="82"/>
      <c r="K2" s="83"/>
      <c r="O2" s="105" t="s">
        <v>170</v>
      </c>
      <c r="P2" s="12"/>
      <c r="Q2" s="13"/>
      <c r="W2" s="7" t="s">
        <v>14</v>
      </c>
      <c r="X2" s="7" t="s">
        <v>13</v>
      </c>
      <c r="Y2" s="104" t="s">
        <v>167</v>
      </c>
      <c r="Z2" s="104" t="s">
        <v>167</v>
      </c>
      <c r="AA2" s="104" t="s">
        <v>167</v>
      </c>
      <c r="AB2" s="111" t="s">
        <v>181</v>
      </c>
      <c r="AC2" s="111" t="s">
        <v>50</v>
      </c>
    </row>
    <row r="3" spans="1:33">
      <c r="A3" s="82"/>
      <c r="K3" s="83"/>
      <c r="O3" s="110" t="s">
        <v>178</v>
      </c>
      <c r="Q3" s="15"/>
      <c r="W3" s="6">
        <v>1</v>
      </c>
      <c r="X3" s="6" t="s">
        <v>176</v>
      </c>
      <c r="Y3" s="71">
        <v>0.9</v>
      </c>
      <c r="Z3" s="71">
        <v>0.9</v>
      </c>
      <c r="AA3" s="71">
        <v>0.85</v>
      </c>
      <c r="AB3" s="6">
        <f>(14/$D$13)</f>
        <v>3.5000000000000001E-3</v>
      </c>
      <c r="AC3" s="108">
        <f>0.75*0.85*($D$12/fy)*$D$15*(6120/(6120+fy))</f>
        <v>1.7203995800395253E-2</v>
      </c>
    </row>
    <row r="4" spans="1:33" ht="12" thickBot="1">
      <c r="A4" s="82" t="s">
        <v>6</v>
      </c>
      <c r="B4" s="61" t="s">
        <v>169</v>
      </c>
      <c r="K4" s="83"/>
      <c r="O4" s="106" t="s">
        <v>171</v>
      </c>
      <c r="P4" s="21">
        <v>3.0000000000000001E-3</v>
      </c>
      <c r="Q4" s="15" t="s">
        <v>172</v>
      </c>
      <c r="W4" s="6">
        <v>2</v>
      </c>
      <c r="X4" s="6" t="s">
        <v>15</v>
      </c>
      <c r="Y4" s="71">
        <f>IF(P8&lt;0.002,0.75,IF(P8&lt;=0.005,0.75+(P8-0.002)*0.5,0.9))</f>
        <v>0.9</v>
      </c>
      <c r="Z4" s="71">
        <f>IF(P14&lt;0.002,0.75,IF(P14&lt;=0.005,0.75+(P14-0.002)*0.5,0.9))</f>
        <v>0.9</v>
      </c>
      <c r="AA4" s="71">
        <v>0.75</v>
      </c>
      <c r="AB4" s="6">
        <f>MAX((14/$D$13),0.8*SQRT(D12)/fy)</f>
        <v>3.5000000000000001E-3</v>
      </c>
      <c r="AC4" s="6">
        <f>0.36*D15*(D12/fy)</f>
        <v>1.6064999999999999E-2</v>
      </c>
    </row>
    <row r="5" spans="1:33">
      <c r="A5" s="79"/>
      <c r="B5" s="80"/>
      <c r="C5" s="80"/>
      <c r="D5" s="80"/>
      <c r="E5" s="80"/>
      <c r="F5" s="80"/>
      <c r="G5" s="80"/>
      <c r="H5" s="80"/>
      <c r="I5" s="80"/>
      <c r="J5" s="80"/>
      <c r="K5" s="81"/>
      <c r="O5" s="14" t="s">
        <v>173</v>
      </c>
      <c r="P5" s="11">
        <f>D53/D15</f>
        <v>11.043111431303716</v>
      </c>
      <c r="Q5" s="15" t="s">
        <v>52</v>
      </c>
      <c r="W5" s="6">
        <v>3</v>
      </c>
      <c r="X5" s="6" t="s">
        <v>168</v>
      </c>
      <c r="Y5" s="71">
        <f>IF(P8&lt;P7,0.75,IF(P8&lt;=0.005,0.75+((0.15/(0.005-P7))*(P8-P7)),0.9))</f>
        <v>0.9</v>
      </c>
      <c r="Z5" s="71">
        <f>IF(P14&lt;P13,0.75,IF(P14&lt;=0.005,0.75+((0.15/(0.005-P13))*(P14-P13)),0.9))</f>
        <v>0.9</v>
      </c>
      <c r="AA5" s="71">
        <v>0.75</v>
      </c>
      <c r="AB5" s="6">
        <f>MAX((14/$D$13),0.8*SQRT(D12)/fy)</f>
        <v>3.5000000000000001E-3</v>
      </c>
      <c r="AC5" s="6">
        <f>0.36*D15*(D12/fy)</f>
        <v>1.6064999999999999E-2</v>
      </c>
    </row>
    <row r="6" spans="1:33">
      <c r="A6" s="82"/>
      <c r="B6" s="2" t="s">
        <v>0</v>
      </c>
      <c r="C6" s="5" t="s">
        <v>185</v>
      </c>
      <c r="I6" s="4" t="s">
        <v>1</v>
      </c>
      <c r="J6" s="5"/>
      <c r="K6" s="83"/>
      <c r="O6" s="14" t="s">
        <v>174</v>
      </c>
      <c r="P6" s="59">
        <f>D19-D20-(D62/10)-(D43/10)/2</f>
        <v>33.4</v>
      </c>
      <c r="Q6" s="15" t="s">
        <v>52</v>
      </c>
      <c r="W6" s="6">
        <v>4</v>
      </c>
      <c r="X6" s="6" t="s">
        <v>169</v>
      </c>
      <c r="Y6" s="71">
        <f>IF(P8&lt;P7,0.75,IF(P8&lt;=P7+0.003,0.75+((0.15/((P7+0.003)-P7))*(P8-P7)),0.9))</f>
        <v>0.9</v>
      </c>
      <c r="Z6" s="71">
        <f>IF(P14&lt;P13,0.75,IF(P14&lt;=P13+0.003,0.75+((0.15/((P13+0.003)-P13))*(P14-P13)),0.9))</f>
        <v>0.9</v>
      </c>
      <c r="AA6" s="71">
        <v>0.75</v>
      </c>
      <c r="AB6" s="6">
        <f>MAX((14/$D$13),0.8*SQRT(D12)/fy)</f>
        <v>3.5000000000000001E-3</v>
      </c>
      <c r="AC6" s="6">
        <f>0.32*D15*(D12/fy)</f>
        <v>1.4280000000000001E-2</v>
      </c>
    </row>
    <row r="7" spans="1:33">
      <c r="A7" s="82"/>
      <c r="B7" s="1" t="s">
        <v>154</v>
      </c>
      <c r="I7" s="4" t="s">
        <v>2</v>
      </c>
      <c r="J7" s="5"/>
      <c r="K7" s="83"/>
      <c r="O7" s="106" t="s">
        <v>177</v>
      </c>
      <c r="P7" s="20">
        <f>fy/I13</f>
        <v>1.9607843137254902E-3</v>
      </c>
      <c r="Q7" s="15" t="s">
        <v>172</v>
      </c>
    </row>
    <row r="8" spans="1:33">
      <c r="A8" s="82"/>
      <c r="I8" s="4" t="s">
        <v>3</v>
      </c>
      <c r="J8" s="5"/>
      <c r="K8" s="83"/>
      <c r="O8" s="107" t="s">
        <v>175</v>
      </c>
      <c r="P8" s="109">
        <f>(P4/P5)*P6</f>
        <v>9.0735297405371458E-3</v>
      </c>
      <c r="Q8" s="18" t="s">
        <v>172</v>
      </c>
      <c r="W8" s="33" t="s">
        <v>125</v>
      </c>
      <c r="Y8" s="133" t="s">
        <v>112</v>
      </c>
      <c r="Z8" s="134"/>
      <c r="AA8" s="135"/>
      <c r="AB8" s="133" t="s">
        <v>117</v>
      </c>
      <c r="AC8" s="134"/>
      <c r="AD8" s="135"/>
      <c r="AE8" s="133" t="s">
        <v>124</v>
      </c>
      <c r="AF8" s="134"/>
      <c r="AG8" s="135"/>
    </row>
    <row r="9" spans="1:33">
      <c r="A9" s="82"/>
      <c r="I9" s="4" t="s">
        <v>4</v>
      </c>
      <c r="J9" s="114"/>
      <c r="K9" s="83"/>
      <c r="O9" s="110" t="s">
        <v>183</v>
      </c>
      <c r="Q9" s="15"/>
      <c r="W9" s="7" t="s">
        <v>14</v>
      </c>
      <c r="X9" s="7" t="s">
        <v>85</v>
      </c>
      <c r="Y9" s="70" t="s">
        <v>92</v>
      </c>
      <c r="Z9" s="70" t="s">
        <v>114</v>
      </c>
      <c r="AA9" s="70" t="s">
        <v>101</v>
      </c>
      <c r="AB9" s="66" t="s">
        <v>92</v>
      </c>
      <c r="AC9" s="70" t="s">
        <v>114</v>
      </c>
      <c r="AD9" s="70" t="s">
        <v>101</v>
      </c>
      <c r="AE9" s="70" t="s">
        <v>92</v>
      </c>
      <c r="AF9" s="70" t="s">
        <v>114</v>
      </c>
      <c r="AG9" s="70" t="s">
        <v>101</v>
      </c>
    </row>
    <row r="10" spans="1:33">
      <c r="A10" s="84"/>
      <c r="B10" s="17"/>
      <c r="C10" s="17"/>
      <c r="D10" s="17"/>
      <c r="E10" s="17"/>
      <c r="F10" s="17"/>
      <c r="G10" s="17"/>
      <c r="H10" s="17"/>
      <c r="I10" s="17"/>
      <c r="J10" s="17"/>
      <c r="K10" s="85"/>
      <c r="O10" s="106" t="s">
        <v>171</v>
      </c>
      <c r="P10" s="21">
        <v>3.0000000000000001E-3</v>
      </c>
      <c r="Q10" s="15" t="s">
        <v>172</v>
      </c>
      <c r="W10" s="6">
        <v>1</v>
      </c>
      <c r="X10" s="63" t="s">
        <v>86</v>
      </c>
      <c r="Y10" s="69">
        <f>D155</f>
        <v>73938.657823690883</v>
      </c>
      <c r="Z10" s="6">
        <f>(D136*8/D133^2)/100</f>
        <v>20.464726787489276</v>
      </c>
      <c r="AA10" s="71">
        <f>Z10*5*(D133*100)^4/(384*I12*D164)</f>
        <v>22.740693373479235</v>
      </c>
      <c r="AB10" s="67">
        <f>D158</f>
        <v>73908.463101052243</v>
      </c>
      <c r="AC10" s="6">
        <f>(I136*8/D133^2)/100</f>
        <v>33.121144864585176</v>
      </c>
      <c r="AD10" s="71">
        <f>AC10*5*(D133*100)^4/(384*I12*D165)</f>
        <v>36.819720117417049</v>
      </c>
      <c r="AE10" s="69">
        <f>D161</f>
        <v>73922.857190104987</v>
      </c>
      <c r="AF10" s="6">
        <f>(D137*8/D133^2)/100</f>
        <v>24.261652210618049</v>
      </c>
      <c r="AG10" s="71">
        <f>AF10*5*(D133*100)^4/(384*I12*D166)</f>
        <v>26.965653056280836</v>
      </c>
    </row>
    <row r="11" spans="1:33">
      <c r="A11" s="86" t="s"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87"/>
      <c r="O11" s="14" t="s">
        <v>173</v>
      </c>
      <c r="P11" s="11">
        <f>D110/D15</f>
        <v>5.300693487025784</v>
      </c>
      <c r="Q11" s="15" t="s">
        <v>52</v>
      </c>
      <c r="W11" s="6">
        <v>2</v>
      </c>
      <c r="X11" s="63" t="s">
        <v>87</v>
      </c>
      <c r="Y11" s="69" t="e">
        <f>0.85*D155+0.15*D156</f>
        <v>#VALUE!</v>
      </c>
      <c r="Z11" s="71">
        <f>(D136*(128/9)/(D133^2))/100</f>
        <v>36.381736511092043</v>
      </c>
      <c r="AA11" s="71">
        <f>Z11*(D133*100)^4/(185*I12*D164)</f>
        <v>16.783041451850618</v>
      </c>
      <c r="AB11" s="6" t="e">
        <f>0.85*D158+0.15*D159</f>
        <v>#VALUE!</v>
      </c>
      <c r="AC11" s="71">
        <f>(I136*(128/9)/(D133^2))/100</f>
        <v>58.882035314818097</v>
      </c>
      <c r="AD11" s="63">
        <f>AC11*(D133*100)^4/(185*I12*D165)</f>
        <v>27.17361686503428</v>
      </c>
      <c r="AE11" s="69" t="e">
        <f>0.85*D161+0.15*D162</f>
        <v>#VALUE!</v>
      </c>
      <c r="AF11" s="71">
        <f>(D137*(128/9)/(D133^2))/100</f>
        <v>43.131826152209861</v>
      </c>
      <c r="AG11" s="71">
        <f>AF11*(D133*100)^4/(185*I12*D166)</f>
        <v>19.901137823157885</v>
      </c>
    </row>
    <row r="12" spans="1:33">
      <c r="A12" s="82"/>
      <c r="B12" s="1" t="s">
        <v>8</v>
      </c>
      <c r="C12" s="8" t="s">
        <v>9</v>
      </c>
      <c r="D12" s="3">
        <v>210</v>
      </c>
      <c r="E12" s="23" t="s">
        <v>12</v>
      </c>
      <c r="G12" s="1" t="s">
        <v>71</v>
      </c>
      <c r="H12" s="8" t="s">
        <v>9</v>
      </c>
      <c r="I12" s="9">
        <f>15100*SQRT(D12)</f>
        <v>218819.78886746051</v>
      </c>
      <c r="J12" s="1" t="s">
        <v>12</v>
      </c>
      <c r="K12" s="83"/>
      <c r="O12" s="14" t="s">
        <v>174</v>
      </c>
      <c r="P12" s="59">
        <f>D19-D20-(D62/10)-(D100/10)/2</f>
        <v>33.6</v>
      </c>
      <c r="Q12" s="15" t="s">
        <v>52</v>
      </c>
      <c r="W12" s="6">
        <v>3</v>
      </c>
      <c r="X12" s="63" t="s">
        <v>88</v>
      </c>
      <c r="Y12" s="67" t="e">
        <f>0.7*D155+0.15*(D156+I156)</f>
        <v>#VALUE!</v>
      </c>
      <c r="Z12" s="6">
        <f>(D136*24/(D133^2))/100</f>
        <v>61.394180362467836</v>
      </c>
      <c r="AA12" s="71">
        <f>Z12*(D133*100)^4/(384*I12*D164)</f>
        <v>13.644416024087544</v>
      </c>
      <c r="AB12" s="6" t="e">
        <f>0.7*D158+0.15*(D159+I159)</f>
        <v>#VALUE!</v>
      </c>
      <c r="AC12" s="6">
        <f>(I136*24/(D133^2))/100</f>
        <v>99.363434593755542</v>
      </c>
      <c r="AD12" s="63">
        <f>AC12*(D133*100)^4/(384*I12*D165)</f>
        <v>22.091832070450231</v>
      </c>
      <c r="AE12" s="67" t="e">
        <f>0.7*D161+0.15*(D162+I162)</f>
        <v>#VALUE!</v>
      </c>
      <c r="AF12" s="6">
        <f>(D137*24/(D133^2))/100</f>
        <v>72.784956631854143</v>
      </c>
      <c r="AG12" s="71">
        <f>AF12*(D133*100)^4/(384*I12*D166)</f>
        <v>16.179391833768499</v>
      </c>
    </row>
    <row r="13" spans="1:33">
      <c r="A13" s="82"/>
      <c r="B13" s="1" t="s">
        <v>10</v>
      </c>
      <c r="C13" s="8" t="s">
        <v>9</v>
      </c>
      <c r="D13" s="3">
        <v>4000</v>
      </c>
      <c r="E13" s="23" t="s">
        <v>12</v>
      </c>
      <c r="G13" s="1" t="s">
        <v>72</v>
      </c>
      <c r="H13" s="8" t="s">
        <v>9</v>
      </c>
      <c r="I13" s="9">
        <f>2.04*(10^6)</f>
        <v>2040000</v>
      </c>
      <c r="J13" s="1" t="s">
        <v>12</v>
      </c>
      <c r="K13" s="83"/>
      <c r="O13" s="106" t="s">
        <v>177</v>
      </c>
      <c r="P13" s="20">
        <f>P7</f>
        <v>1.9607843137254902E-3</v>
      </c>
      <c r="Q13" s="15" t="s">
        <v>172</v>
      </c>
      <c r="W13" s="6">
        <v>4</v>
      </c>
      <c r="X13" s="63" t="s">
        <v>95</v>
      </c>
      <c r="Y13" s="67">
        <f>D155</f>
        <v>73938.657823690883</v>
      </c>
      <c r="Z13" s="6">
        <f>(D136*2/(D133^2))/100</f>
        <v>5.1161816968723191</v>
      </c>
      <c r="AA13" s="71">
        <f>Z13*(D133*100)^4/(8*I12*D164)</f>
        <v>54.577664096350169</v>
      </c>
      <c r="AB13" s="67">
        <f>D158</f>
        <v>73908.463101052243</v>
      </c>
      <c r="AC13" s="6">
        <f>(I136*2/(D133^2))/100</f>
        <v>8.280286216146294</v>
      </c>
      <c r="AD13" s="63">
        <f>AC13*(D133*100)^4/(8*I12*D165)</f>
        <v>88.367328281800908</v>
      </c>
      <c r="AE13" s="67">
        <f>D161</f>
        <v>73922.857190104987</v>
      </c>
      <c r="AF13" s="6">
        <f>(D137*2/(D133^2))/100</f>
        <v>6.0654130526545122</v>
      </c>
      <c r="AG13" s="71">
        <f>AF13*(D133*100)^4/(8*I12*D166)</f>
        <v>64.717567335073994</v>
      </c>
    </row>
    <row r="14" spans="1:33">
      <c r="A14" s="82"/>
      <c r="B14" s="1" t="s">
        <v>11</v>
      </c>
      <c r="C14" s="8" t="s">
        <v>9</v>
      </c>
      <c r="D14" s="3">
        <v>4000</v>
      </c>
      <c r="E14" s="23" t="s">
        <v>12</v>
      </c>
      <c r="G14" s="1" t="s">
        <v>70</v>
      </c>
      <c r="H14" s="8" t="s">
        <v>9</v>
      </c>
      <c r="I14" s="59">
        <f>I13/I12</f>
        <v>9.3227400070092887</v>
      </c>
      <c r="K14" s="83"/>
      <c r="O14" s="107" t="s">
        <v>175</v>
      </c>
      <c r="P14" s="109">
        <f>(P10/P11)*P12</f>
        <v>1.9016379695736534E-2</v>
      </c>
      <c r="Q14" s="18" t="s">
        <v>172</v>
      </c>
    </row>
    <row r="15" spans="1:33">
      <c r="A15" s="82"/>
      <c r="B15" s="10" t="s">
        <v>16</v>
      </c>
      <c r="C15" s="8" t="s">
        <v>9</v>
      </c>
      <c r="D15" s="22">
        <f>IF(AND(D12&lt;=280,D12&gt;0),(0.85),MAX(0.65,(0.85-0.05*(D12-280)/70)))</f>
        <v>0.85</v>
      </c>
      <c r="G15" s="1" t="s">
        <v>17</v>
      </c>
      <c r="H15" s="8" t="s">
        <v>9</v>
      </c>
      <c r="I15" s="11">
        <f>2*SQRT(D12)</f>
        <v>28.982753492378876</v>
      </c>
      <c r="J15" s="23" t="s">
        <v>12</v>
      </c>
      <c r="K15" s="83"/>
    </row>
    <row r="16" spans="1:33">
      <c r="A16" s="84"/>
      <c r="B16" s="17"/>
      <c r="C16" s="17"/>
      <c r="D16" s="17"/>
      <c r="E16" s="17"/>
      <c r="F16" s="17"/>
      <c r="G16" s="17"/>
      <c r="H16" s="17"/>
      <c r="I16" s="17"/>
      <c r="J16" s="17"/>
      <c r="K16" s="85"/>
    </row>
    <row r="17" spans="1:26">
      <c r="A17" s="86" t="s">
        <v>18</v>
      </c>
      <c r="B17" s="12"/>
      <c r="C17" s="12"/>
      <c r="D17" s="12"/>
      <c r="E17" s="12"/>
      <c r="F17" s="12"/>
      <c r="G17" s="12"/>
      <c r="H17" s="12"/>
      <c r="I17" s="12"/>
      <c r="J17" s="12"/>
      <c r="K17" s="87"/>
    </row>
    <row r="18" spans="1:26">
      <c r="A18" s="82"/>
      <c r="B18" s="1" t="s">
        <v>19</v>
      </c>
      <c r="C18" s="8" t="s">
        <v>9</v>
      </c>
      <c r="D18" s="3">
        <v>30</v>
      </c>
      <c r="E18" s="1" t="s">
        <v>21</v>
      </c>
      <c r="H18" s="8"/>
      <c r="I18" s="25" t="s">
        <v>156</v>
      </c>
      <c r="J18" s="3">
        <v>2.5</v>
      </c>
      <c r="K18" s="83" t="s">
        <v>21</v>
      </c>
      <c r="W18" s="33" t="s">
        <v>133</v>
      </c>
    </row>
    <row r="19" spans="1:26">
      <c r="A19" s="82"/>
      <c r="B19" s="1" t="s">
        <v>20</v>
      </c>
      <c r="C19" s="8" t="s">
        <v>9</v>
      </c>
      <c r="D19" s="3">
        <v>40</v>
      </c>
      <c r="E19" s="1" t="s">
        <v>21</v>
      </c>
      <c r="H19" s="8"/>
      <c r="I19" s="25" t="s">
        <v>77</v>
      </c>
      <c r="J19" s="8">
        <f>D20+(D62/10)</f>
        <v>5.6</v>
      </c>
      <c r="K19" s="83" t="s">
        <v>21</v>
      </c>
      <c r="W19" s="7" t="s">
        <v>14</v>
      </c>
      <c r="X19" s="70" t="s">
        <v>134</v>
      </c>
      <c r="Y19" s="70" t="s">
        <v>140</v>
      </c>
      <c r="Z19" s="66" t="s">
        <v>147</v>
      </c>
    </row>
    <row r="20" spans="1:26">
      <c r="A20" s="82"/>
      <c r="B20" s="1" t="s">
        <v>23</v>
      </c>
      <c r="C20" s="8" t="s">
        <v>9</v>
      </c>
      <c r="D20" s="31">
        <v>4</v>
      </c>
      <c r="E20" s="1" t="s">
        <v>21</v>
      </c>
      <c r="H20" s="8"/>
      <c r="I20" s="25" t="s">
        <v>78</v>
      </c>
      <c r="J20" s="9">
        <f>D18*D19</f>
        <v>1200</v>
      </c>
      <c r="K20" s="83" t="s">
        <v>36</v>
      </c>
      <c r="W20" s="6">
        <v>1</v>
      </c>
      <c r="X20" s="63" t="s">
        <v>135</v>
      </c>
      <c r="Y20" s="6" t="s">
        <v>141</v>
      </c>
      <c r="Z20" s="71">
        <f>$D$133/180*100</f>
        <v>6.0222222222222221</v>
      </c>
    </row>
    <row r="21" spans="1:26">
      <c r="A21" s="82"/>
      <c r="B21" s="1" t="s">
        <v>22</v>
      </c>
      <c r="C21" s="8" t="s">
        <v>9</v>
      </c>
      <c r="D21" s="11">
        <f>((((D32/10)/2+$J$19)*E32 + ((D33/10)/2+$J$19)*E33) + (((D34/10)/2+$J$19+MAX(D32/10,D33/10)+MAX($J$18,D32/10,D33/10))*E34 + ((D35/10)/2+$J$19+MAX(D32/10,D33/10)+MAX($J$18,D32/10,D33/10))*E35) +  (((D36/10)/2+$J$19+MAX(D32/10,D33/10)+MAX($J$18,D32/10,D33/10) + MAX(D34/10,D35/10) + MAX($J$18,D34/10,D35/10) )*E36 + ((D37/10)/2+$J$19+MAX(D32/10,D33/10)+MAX($J$18,D32/10,D33/10) + MAX(D34/10,D35/10) + MAX($J$18,D34/10,D35/10) )*E37))/D38</f>
        <v>6.6</v>
      </c>
      <c r="E21" s="1" t="s">
        <v>21</v>
      </c>
      <c r="I21" s="25" t="s">
        <v>79</v>
      </c>
      <c r="J21" s="9">
        <f>D18*D19^3/12</f>
        <v>160000</v>
      </c>
      <c r="K21" s="83" t="s">
        <v>27</v>
      </c>
      <c r="W21" s="6">
        <v>2</v>
      </c>
      <c r="X21" s="63" t="s">
        <v>136</v>
      </c>
      <c r="Y21" s="6" t="s">
        <v>142</v>
      </c>
      <c r="Z21" s="71">
        <f>$D$133/360*100</f>
        <v>3.0111111111111111</v>
      </c>
    </row>
    <row r="22" spans="1:26">
      <c r="A22" s="82"/>
      <c r="B22" s="1" t="s">
        <v>157</v>
      </c>
      <c r="C22" s="8" t="s">
        <v>9</v>
      </c>
      <c r="D22" s="11">
        <f>((((D43/10)/2+$J$19)*E43 + ((D44/10)/2+$J$19)*E44) + (((D45/10)/2+$J$19+MAX(D43/10,D44/10)+MAX($J$18,D43/10,D44/10))*E45 + ((D46/10)/2+$J$19+MAX(D43/10,D44/10)+MAX($J$18,D43/10,D44/10))*E46) +  (((D47/10)/2+$J$19+MAX(D43/10,D44/10)+MAX($J$18,D43/10,D44/10) + MAX(D45/10,D46/10) + MAX($J$18,D45/10,D46/10) )*E47 + ((D48/10)/2+$J$19+MAX(D43/10,D44/10)+MAX($J$18,D43/10,D44/10) + MAX(D45/10,D46/10) + MAX($J$18,D45/10,D46/10) )*E48))/D49</f>
        <v>6.6</v>
      </c>
      <c r="E22" s="1" t="s">
        <v>21</v>
      </c>
      <c r="I22" s="25" t="s">
        <v>80</v>
      </c>
      <c r="J22" s="60">
        <f>I15*J21/(D19/2)/100</f>
        <v>2318.6202793903099</v>
      </c>
      <c r="K22" s="83" t="s">
        <v>28</v>
      </c>
      <c r="W22" s="6">
        <v>3</v>
      </c>
      <c r="X22" s="63" t="s">
        <v>138</v>
      </c>
      <c r="Y22" s="6" t="s">
        <v>143</v>
      </c>
      <c r="Z22" s="71">
        <f>$D$133/480*100</f>
        <v>2.2583333333333333</v>
      </c>
    </row>
    <row r="23" spans="1:26">
      <c r="A23" s="82"/>
      <c r="B23" s="1" t="s">
        <v>24</v>
      </c>
      <c r="C23" s="8" t="s">
        <v>9</v>
      </c>
      <c r="D23" s="11">
        <f>D19-D22</f>
        <v>33.4</v>
      </c>
      <c r="E23" s="1" t="s">
        <v>21</v>
      </c>
      <c r="I23" s="25"/>
      <c r="J23" s="11"/>
      <c r="K23" s="83"/>
      <c r="W23" s="6">
        <v>4</v>
      </c>
      <c r="X23" s="63" t="s">
        <v>139</v>
      </c>
      <c r="Y23" s="6" t="s">
        <v>144</v>
      </c>
      <c r="Z23" s="71">
        <f>$D$133/240*100</f>
        <v>4.5166666666666666</v>
      </c>
    </row>
    <row r="24" spans="1:26">
      <c r="A24" s="82"/>
      <c r="B24" s="1" t="s">
        <v>25</v>
      </c>
      <c r="C24" s="8" t="s">
        <v>9</v>
      </c>
      <c r="D24" s="11">
        <f>D19-D21</f>
        <v>33.4</v>
      </c>
      <c r="E24" s="1" t="s">
        <v>21</v>
      </c>
      <c r="K24" s="83"/>
    </row>
    <row r="25" spans="1:26">
      <c r="A25" s="84"/>
      <c r="B25" s="17"/>
      <c r="C25" s="17"/>
      <c r="D25" s="17"/>
      <c r="E25" s="17"/>
      <c r="F25" s="17"/>
      <c r="G25" s="17"/>
      <c r="H25" s="17"/>
      <c r="I25" s="17"/>
      <c r="J25" s="17"/>
      <c r="K25" s="85"/>
    </row>
    <row r="26" spans="1:26">
      <c r="A26" s="86" t="s">
        <v>83</v>
      </c>
      <c r="B26" s="12"/>
      <c r="C26" s="12"/>
      <c r="D26" s="12"/>
      <c r="E26" s="12"/>
      <c r="F26" s="12"/>
      <c r="G26" s="12"/>
      <c r="H26" s="12"/>
      <c r="I26" s="12"/>
      <c r="J26" s="12"/>
      <c r="K26" s="87"/>
    </row>
    <row r="27" spans="1:26">
      <c r="A27" s="82"/>
      <c r="B27" s="1" t="s">
        <v>38</v>
      </c>
      <c r="C27" s="8" t="s">
        <v>9</v>
      </c>
      <c r="D27" s="3">
        <v>570</v>
      </c>
      <c r="E27" s="1" t="s">
        <v>28</v>
      </c>
      <c r="G27" s="32" t="s">
        <v>41</v>
      </c>
      <c r="H27" s="8" t="s">
        <v>9</v>
      </c>
      <c r="I27" s="11">
        <f>VLOOKUP(B4,X3:AC6,2,0)</f>
        <v>0.9</v>
      </c>
      <c r="K27" s="83"/>
    </row>
    <row r="28" spans="1:26">
      <c r="A28" s="82"/>
      <c r="B28" s="1" t="s">
        <v>160</v>
      </c>
      <c r="C28" s="8" t="s">
        <v>9</v>
      </c>
      <c r="D28" s="11">
        <f>D27*100/(I27*$D$18*$D$23^2)</f>
        <v>1.8924227393516362</v>
      </c>
      <c r="E28" s="1" t="s">
        <v>161</v>
      </c>
      <c r="G28" s="10" t="s">
        <v>162</v>
      </c>
      <c r="H28" s="8" t="s">
        <v>9</v>
      </c>
      <c r="I28" s="21">
        <f>0.85*($D$12/fy)*(1-SQRT(1-2*D28/(0.85*$D$12)))</f>
        <v>4.7564051848298473E-4</v>
      </c>
      <c r="K28" s="83"/>
    </row>
    <row r="29" spans="1:26">
      <c r="A29" s="82"/>
      <c r="B29" s="1" t="s">
        <v>163</v>
      </c>
      <c r="C29" s="8" t="s">
        <v>9</v>
      </c>
      <c r="D29" s="11">
        <f>I28*$D$18*$D$23</f>
        <v>0.47659179951995068</v>
      </c>
      <c r="E29" s="1" t="s">
        <v>36</v>
      </c>
      <c r="K29" s="83"/>
    </row>
    <row r="30" spans="1:26">
      <c r="A30" s="82"/>
      <c r="B30" s="33" t="s">
        <v>159</v>
      </c>
      <c r="K30" s="83"/>
    </row>
    <row r="31" spans="1:26">
      <c r="A31" s="82"/>
      <c r="D31" s="30" t="s">
        <v>149</v>
      </c>
      <c r="E31" s="30" t="s">
        <v>45</v>
      </c>
      <c r="F31" s="27" t="s">
        <v>46</v>
      </c>
      <c r="G31" s="131" t="s">
        <v>65</v>
      </c>
      <c r="H31" s="132"/>
      <c r="K31" s="83"/>
    </row>
    <row r="32" spans="1:26" ht="15" customHeight="1">
      <c r="A32" s="82"/>
      <c r="B32" s="119" t="s">
        <v>31</v>
      </c>
      <c r="C32" s="12"/>
      <c r="D32" s="28">
        <v>20</v>
      </c>
      <c r="E32" s="28">
        <v>4</v>
      </c>
      <c r="F32" s="127">
        <f>IF(AND(E32=0,E33=0),"N/A",(($D$18-$D$20*2-($D$62/10)*2)-((D32/10)*E32+(D33/10)*E33))/(E32+E33-1))</f>
        <v>3.6</v>
      </c>
      <c r="G32" s="119" t="str">
        <f>IF(AND(E32=0,E33=0),"N/A",IF(F32&gt;=MAX($J$18,D32/10,D33/10),"OK","NOT OK"))</f>
        <v>OK</v>
      </c>
      <c r="H32" s="129"/>
      <c r="I32" s="25"/>
      <c r="K32" s="83"/>
    </row>
    <row r="33" spans="1:18">
      <c r="A33" s="82"/>
      <c r="B33" s="120"/>
      <c r="C33" s="17"/>
      <c r="D33" s="29"/>
      <c r="E33" s="29"/>
      <c r="F33" s="128"/>
      <c r="G33" s="120"/>
      <c r="H33" s="130"/>
      <c r="K33" s="83"/>
      <c r="R33" s="26"/>
    </row>
    <row r="34" spans="1:18" hidden="1" outlineLevel="1">
      <c r="A34" s="82"/>
      <c r="B34" s="119" t="s">
        <v>32</v>
      </c>
      <c r="C34" s="12"/>
      <c r="D34" s="28"/>
      <c r="E34" s="28"/>
      <c r="F34" s="127" t="str">
        <f>IF(AND(E34=0,E35=0),"N/A",(($D$18-$D$20*2-($D$62/10)*2)-((D34/10)*E34+(D35/10)*E35))/(E34+E35-1))</f>
        <v>N/A</v>
      </c>
      <c r="G34" s="119" t="str">
        <f>IF(AND(E34=0,E35=0),"N/A",IF(F34&gt;=MAX($J$18,D34/10,D35/10),"OK","NOT OK"))</f>
        <v>N/A</v>
      </c>
      <c r="H34" s="129"/>
      <c r="I34" s="25"/>
      <c r="K34" s="83"/>
    </row>
    <row r="35" spans="1:18" hidden="1" outlineLevel="1">
      <c r="A35" s="82"/>
      <c r="B35" s="120"/>
      <c r="C35" s="17"/>
      <c r="D35" s="29"/>
      <c r="E35" s="29"/>
      <c r="F35" s="128"/>
      <c r="G35" s="120"/>
      <c r="H35" s="130"/>
      <c r="K35" s="83"/>
    </row>
    <row r="36" spans="1:18" hidden="1" outlineLevel="1">
      <c r="A36" s="82"/>
      <c r="B36" s="119" t="s">
        <v>33</v>
      </c>
      <c r="C36" s="12"/>
      <c r="D36" s="28"/>
      <c r="E36" s="28"/>
      <c r="F36" s="127" t="str">
        <f>IF(AND(E36=0,E37=0),"N/A",(($D$18-$D$20*2-($D$62/10)*2)-((D36/10)*E36+(D37/10)*E37))/(E36+E37-1))</f>
        <v>N/A</v>
      </c>
      <c r="G36" s="119" t="str">
        <f>IF(AND(E36=0,E37=0),"N/A",IF(F36&gt;=MAX($J$18,D36/10,D37/10),"OK","NOT OK"))</f>
        <v>N/A</v>
      </c>
      <c r="H36" s="129"/>
      <c r="I36" s="25"/>
      <c r="K36" s="83"/>
    </row>
    <row r="37" spans="1:18" hidden="1" outlineLevel="1">
      <c r="A37" s="82"/>
      <c r="B37" s="120"/>
      <c r="C37" s="17"/>
      <c r="D37" s="29"/>
      <c r="E37" s="29"/>
      <c r="F37" s="128"/>
      <c r="G37" s="120"/>
      <c r="H37" s="130"/>
      <c r="K37" s="83"/>
    </row>
    <row r="38" spans="1:18" collapsed="1">
      <c r="A38" s="82"/>
      <c r="B38" s="1" t="s">
        <v>47</v>
      </c>
      <c r="C38" s="8" t="s">
        <v>9</v>
      </c>
      <c r="D38" s="8">
        <f>SUM(E32:E37)</f>
        <v>4</v>
      </c>
      <c r="E38" s="1" t="s">
        <v>29</v>
      </c>
      <c r="K38" s="83"/>
    </row>
    <row r="39" spans="1:18">
      <c r="A39" s="82"/>
      <c r="B39" s="1" t="s">
        <v>34</v>
      </c>
      <c r="C39" s="8" t="s">
        <v>9</v>
      </c>
      <c r="D39" s="11">
        <f>(PI()*(D32/10)^2/4)*E32 + (PI()*(D33/10)^2/4)*E33 + (PI()*(D34/10)^2/4)*E34 + (PI()*(D35/10)^2/4)*E35 + (PI()*(D36/10)^2/4)*E36 + (PI()*(D37/10)^2/4)*E37</f>
        <v>12.566370614359172</v>
      </c>
      <c r="E39" s="1" t="s">
        <v>36</v>
      </c>
      <c r="F39" s="34" t="s">
        <v>49</v>
      </c>
      <c r="G39" s="1">
        <f>D39/$J$20</f>
        <v>1.0471975511965976E-2</v>
      </c>
      <c r="K39" s="83"/>
    </row>
    <row r="40" spans="1:18">
      <c r="A40" s="82"/>
      <c r="E40" s="8"/>
      <c r="K40" s="83"/>
    </row>
    <row r="41" spans="1:18">
      <c r="A41" s="82"/>
      <c r="B41" s="33" t="s">
        <v>30</v>
      </c>
      <c r="K41" s="83"/>
    </row>
    <row r="42" spans="1:18">
      <c r="A42" s="82"/>
      <c r="D42" s="27" t="s">
        <v>150</v>
      </c>
      <c r="E42" s="30" t="s">
        <v>45</v>
      </c>
      <c r="F42" s="27" t="s">
        <v>46</v>
      </c>
      <c r="G42" s="131" t="s">
        <v>65</v>
      </c>
      <c r="H42" s="132"/>
      <c r="K42" s="83"/>
    </row>
    <row r="43" spans="1:18" ht="15" customHeight="1">
      <c r="A43" s="82"/>
      <c r="B43" s="119" t="s">
        <v>31</v>
      </c>
      <c r="C43" s="12"/>
      <c r="D43" s="28">
        <v>20</v>
      </c>
      <c r="E43" s="28">
        <v>4</v>
      </c>
      <c r="F43" s="127">
        <f>IF(AND(E43=0,E44=0),"N/A",(($D$18-$D$20*2-($D$62/10)*2)-((D43/10)*E43+(D44/10)*E44))/(E43+E44-1))</f>
        <v>3.6</v>
      </c>
      <c r="G43" s="119" t="str">
        <f>IF(AND(E43=0,E44=0),"N/A",IF(F43&gt;=MAX($J$18,D43/10,D44/10),"OK","NOT OK"))</f>
        <v>OK</v>
      </c>
      <c r="H43" s="129"/>
      <c r="I43" s="25">
        <f>1/E43</f>
        <v>0.25</v>
      </c>
      <c r="K43" s="83"/>
    </row>
    <row r="44" spans="1:18">
      <c r="A44" s="82"/>
      <c r="B44" s="120"/>
      <c r="C44" s="17"/>
      <c r="D44" s="29"/>
      <c r="E44" s="29"/>
      <c r="F44" s="128"/>
      <c r="G44" s="120"/>
      <c r="H44" s="130"/>
      <c r="K44" s="83"/>
    </row>
    <row r="45" spans="1:18" outlineLevel="1">
      <c r="A45" s="82"/>
      <c r="B45" s="119" t="s">
        <v>32</v>
      </c>
      <c r="C45" s="12"/>
      <c r="D45" s="28"/>
      <c r="E45" s="28"/>
      <c r="F45" s="127" t="str">
        <f>IF(AND(E45=0,E46=0),"N/A",(($D$18-$D$20*2-($D$62/10)*2)-((D45/10)*E45+(D46/10)*E46))/(E45+E46-1))</f>
        <v>N/A</v>
      </c>
      <c r="G45" s="119" t="str">
        <f>IF(AND(E45=0,E46=0),"N/A",IF(F45&gt;=MAX($J$18,D45/10,D46/10),"OK","NOT OK"))</f>
        <v>N/A</v>
      </c>
      <c r="H45" s="129"/>
      <c r="I45" s="25"/>
      <c r="K45" s="83"/>
    </row>
    <row r="46" spans="1:18" outlineLevel="1">
      <c r="A46" s="82"/>
      <c r="B46" s="120"/>
      <c r="C46" s="17"/>
      <c r="D46" s="29"/>
      <c r="E46" s="29"/>
      <c r="F46" s="128"/>
      <c r="G46" s="120"/>
      <c r="H46" s="130"/>
      <c r="K46" s="83"/>
    </row>
    <row r="47" spans="1:18" outlineLevel="1">
      <c r="A47" s="82"/>
      <c r="B47" s="119" t="s">
        <v>33</v>
      </c>
      <c r="C47" s="12"/>
      <c r="D47" s="28"/>
      <c r="E47" s="28"/>
      <c r="F47" s="127" t="str">
        <f>IF(AND(E47=0,E48=0),"N/A",(($D$18-$D$20*2-($D$62/10)*2)-((D47/10)*E47+(D48/10)*E48))/(E47+E48-1))</f>
        <v>N/A</v>
      </c>
      <c r="G47" s="119" t="str">
        <f>IF(AND(E47=0,E48=0),"N/A",IF(F47&gt;=MAX($J$18,D47/10,D48/10),"OK","NOT OK"))</f>
        <v>N/A</v>
      </c>
      <c r="H47" s="129"/>
      <c r="I47" s="25"/>
      <c r="K47" s="83"/>
    </row>
    <row r="48" spans="1:18" outlineLevel="1">
      <c r="A48" s="82"/>
      <c r="B48" s="120"/>
      <c r="C48" s="17"/>
      <c r="D48" s="29"/>
      <c r="E48" s="29"/>
      <c r="F48" s="128"/>
      <c r="G48" s="120"/>
      <c r="H48" s="130"/>
      <c r="K48" s="83"/>
      <c r="N48" s="26"/>
    </row>
    <row r="49" spans="1:15">
      <c r="A49" s="82"/>
      <c r="B49" s="1" t="s">
        <v>47</v>
      </c>
      <c r="C49" s="8" t="s">
        <v>9</v>
      </c>
      <c r="D49" s="8">
        <f>SUM(E43:E46)</f>
        <v>4</v>
      </c>
      <c r="E49" s="1" t="s">
        <v>29</v>
      </c>
      <c r="K49" s="83"/>
      <c r="N49" s="26"/>
    </row>
    <row r="50" spans="1:15">
      <c r="A50" s="82"/>
      <c r="B50" s="1" t="s">
        <v>35</v>
      </c>
      <c r="C50" s="8" t="s">
        <v>9</v>
      </c>
      <c r="D50" s="11">
        <f>(PI()*(D47/10)^2/4)*E47 + (PI()*(D48/10)^2/4)*E48 + (PI()*(D45/10)^2/4)*E45 + (PI()*(D46/10)^2/4)*E46 + (PI()*(D43/10)^2/4)*E43 + (PI()*(D44/10)^2/4)*E44</f>
        <v>12.566370614359172</v>
      </c>
      <c r="E50" s="1" t="s">
        <v>36</v>
      </c>
      <c r="F50" s="34" t="s">
        <v>48</v>
      </c>
      <c r="G50" s="21">
        <f>D50/(D18*D23)</f>
        <v>1.2541288038282607E-2</v>
      </c>
      <c r="I50" s="35" t="str">
        <f>IF(AND(G50&lt;=G52,G50&gt;=G51),"OK",IF(G50&lt;=G51,"NOT OK As &lt; As min","NOT OK As &gt; As max"))</f>
        <v>OK</v>
      </c>
      <c r="K50" s="83"/>
    </row>
    <row r="51" spans="1:15">
      <c r="A51" s="82"/>
      <c r="B51" s="1" t="s">
        <v>63</v>
      </c>
      <c r="C51" s="8" t="s">
        <v>9</v>
      </c>
      <c r="D51" s="11">
        <f>G51*$D$18*$D$23</f>
        <v>3.5069999999999997</v>
      </c>
      <c r="E51" s="1" t="s">
        <v>36</v>
      </c>
      <c r="F51" s="34" t="s">
        <v>64</v>
      </c>
      <c r="G51" s="21">
        <f>VLOOKUP(B4,X3:AC6,5,0)</f>
        <v>3.5000000000000001E-3</v>
      </c>
      <c r="K51" s="83"/>
      <c r="O51" s="112"/>
    </row>
    <row r="52" spans="1:15">
      <c r="A52" s="82"/>
      <c r="B52" s="1" t="s">
        <v>165</v>
      </c>
      <c r="C52" s="8" t="s">
        <v>9</v>
      </c>
      <c r="D52" s="11">
        <f>G52*$D$18*$D$23</f>
        <v>14.30856</v>
      </c>
      <c r="E52" s="1" t="s">
        <v>36</v>
      </c>
      <c r="F52" s="34" t="s">
        <v>164</v>
      </c>
      <c r="G52" s="21">
        <f>VLOOKUP(B4,X3:AC6,6,0)</f>
        <v>1.4280000000000001E-2</v>
      </c>
      <c r="K52" s="83"/>
      <c r="O52" s="112"/>
    </row>
    <row r="53" spans="1:15">
      <c r="A53" s="82"/>
      <c r="B53" s="1" t="s">
        <v>51</v>
      </c>
      <c r="C53" s="8" t="s">
        <v>9</v>
      </c>
      <c r="D53" s="11">
        <f>(D50*fy)/(0.85*$D$12*$D$18)</f>
        <v>9.3866447166081581</v>
      </c>
      <c r="E53" s="23" t="s">
        <v>21</v>
      </c>
      <c r="F53" s="20"/>
      <c r="I53" s="19"/>
      <c r="K53" s="83"/>
    </row>
    <row r="54" spans="1:15">
      <c r="A54" s="82"/>
      <c r="C54" s="8"/>
      <c r="D54" s="11"/>
      <c r="G54" s="1" t="s">
        <v>53</v>
      </c>
      <c r="H54" s="8" t="s">
        <v>9</v>
      </c>
      <c r="I54" s="9">
        <f>D50*fy*($D$23-D53/2)/100</f>
        <v>14429.550014099563</v>
      </c>
      <c r="J54" s="1" t="s">
        <v>28</v>
      </c>
      <c r="K54" s="83"/>
    </row>
    <row r="55" spans="1:15">
      <c r="A55" s="82"/>
      <c r="B55" s="11"/>
      <c r="F55" s="2" t="s">
        <v>184</v>
      </c>
      <c r="G55" s="38" t="s">
        <v>54</v>
      </c>
      <c r="H55" s="39" t="s">
        <v>9</v>
      </c>
      <c r="I55" s="40">
        <f>I54*I27</f>
        <v>12986.595012689606</v>
      </c>
      <c r="J55" s="41" t="s">
        <v>28</v>
      </c>
      <c r="K55" s="83"/>
    </row>
    <row r="56" spans="1:15">
      <c r="A56" s="116"/>
      <c r="B56" s="57"/>
      <c r="C56" s="2"/>
      <c r="G56" s="42" t="s">
        <v>55</v>
      </c>
      <c r="H56" s="43" t="s">
        <v>9</v>
      </c>
      <c r="I56" s="44">
        <f>D27/I55</f>
        <v>4.389141260222832E-2</v>
      </c>
      <c r="J56" s="45" t="str">
        <f>IF(I55&gt;=D27,"OK","NOT OK")</f>
        <v>OK</v>
      </c>
      <c r="K56" s="83"/>
    </row>
    <row r="57" spans="1:15">
      <c r="A57" s="88"/>
      <c r="B57" s="17"/>
      <c r="C57" s="17"/>
      <c r="D57" s="17"/>
      <c r="E57" s="17"/>
      <c r="F57" s="17"/>
      <c r="G57" s="117"/>
      <c r="H57" s="43"/>
      <c r="I57" s="118"/>
      <c r="J57" s="117"/>
      <c r="K57" s="85"/>
    </row>
    <row r="58" spans="1:15">
      <c r="A58" s="86" t="s">
        <v>37</v>
      </c>
      <c r="B58" s="12"/>
      <c r="C58" s="12"/>
      <c r="D58" s="12"/>
      <c r="E58" s="12"/>
      <c r="F58" s="12"/>
      <c r="G58" s="12"/>
      <c r="H58" s="12"/>
      <c r="I58" s="12"/>
      <c r="J58" s="12"/>
      <c r="K58" s="87"/>
    </row>
    <row r="59" spans="1:15">
      <c r="A59" s="82"/>
      <c r="B59" s="1" t="s">
        <v>39</v>
      </c>
      <c r="C59" s="8" t="s">
        <v>9</v>
      </c>
      <c r="D59" s="46">
        <v>1150</v>
      </c>
      <c r="E59" s="1" t="s">
        <v>40</v>
      </c>
      <c r="G59" s="32" t="s">
        <v>41</v>
      </c>
      <c r="H59" s="8" t="s">
        <v>9</v>
      </c>
      <c r="I59" s="8">
        <f>VLOOKUP(B4,X3:AC6,4,0)</f>
        <v>0.75</v>
      </c>
      <c r="K59" s="83"/>
    </row>
    <row r="60" spans="1:15">
      <c r="A60" s="82"/>
      <c r="B60" s="47" t="s">
        <v>42</v>
      </c>
      <c r="C60" s="8" t="s">
        <v>9</v>
      </c>
      <c r="D60" s="9">
        <f>I59*(0.53*SQRT(D12)*D18*D23)</f>
        <v>5771.8429011235221</v>
      </c>
      <c r="E60" s="1" t="s">
        <v>40</v>
      </c>
      <c r="G60" s="32" t="s">
        <v>57</v>
      </c>
      <c r="H60" s="8" t="s">
        <v>9</v>
      </c>
      <c r="I60" s="9">
        <f>I59*(2.1*SQRT(D12)*D18*D23)</f>
        <v>22869.566211998863</v>
      </c>
      <c r="J60" s="1" t="s">
        <v>40</v>
      </c>
      <c r="K60" s="83"/>
    </row>
    <row r="61" spans="1:15">
      <c r="A61" s="82"/>
      <c r="B61" s="47" t="s">
        <v>56</v>
      </c>
      <c r="C61" s="8" t="s">
        <v>9</v>
      </c>
      <c r="D61" s="9">
        <f>MAX(D59-D60,0)</f>
        <v>0</v>
      </c>
      <c r="E61" s="1" t="s">
        <v>40</v>
      </c>
      <c r="F61" s="19" t="str">
        <f>IF(D61&lt;=I60,"","NOT OK Try new section")</f>
        <v/>
      </c>
      <c r="K61" s="83"/>
    </row>
    <row r="62" spans="1:15">
      <c r="A62" s="82"/>
      <c r="B62" s="36" t="s">
        <v>43</v>
      </c>
      <c r="C62" s="25" t="str">
        <f>IF(D14=2400,"RB","DB")</f>
        <v>DB</v>
      </c>
      <c r="D62" s="5">
        <v>16</v>
      </c>
      <c r="G62" s="37" t="s">
        <v>44</v>
      </c>
      <c r="H62" s="8" t="s">
        <v>9</v>
      </c>
      <c r="I62" s="3">
        <v>2</v>
      </c>
      <c r="K62" s="83"/>
    </row>
    <row r="63" spans="1:15">
      <c r="A63" s="82"/>
      <c r="B63" s="1" t="s">
        <v>58</v>
      </c>
      <c r="C63" s="8" t="s">
        <v>9</v>
      </c>
      <c r="D63" s="22">
        <f>(PI()*(D62/10)^2/4)*I62</f>
        <v>4.0212385965949355</v>
      </c>
      <c r="E63" s="1" t="s">
        <v>36</v>
      </c>
      <c r="G63" s="25" t="s">
        <v>62</v>
      </c>
      <c r="H63" s="8" t="s">
        <v>9</v>
      </c>
      <c r="I63" s="24">
        <f>MIN(D63*D14/(0.2*SQRT(D12)*D18),D63*D14/(3.5*D18))</f>
        <v>153.19004177504516</v>
      </c>
      <c r="J63" s="1" t="s">
        <v>21</v>
      </c>
      <c r="K63" s="83"/>
    </row>
    <row r="64" spans="1:15">
      <c r="A64" s="82"/>
      <c r="C64" s="8"/>
      <c r="D64" s="22"/>
      <c r="G64" s="25" t="s">
        <v>61</v>
      </c>
      <c r="H64" s="8" t="s">
        <v>9</v>
      </c>
      <c r="I64" s="24">
        <f>IF((D61/I59)&lt;=1.1*SQRT(D12)*D18*D23,MIN(D23/2,60),MIN(D23/4,30))</f>
        <v>16.7</v>
      </c>
      <c r="J64" s="1" t="s">
        <v>21</v>
      </c>
      <c r="K64" s="83"/>
    </row>
    <row r="65" spans="1:11">
      <c r="A65" s="82"/>
      <c r="B65" s="48" t="s">
        <v>59</v>
      </c>
      <c r="C65" s="49" t="s">
        <v>9</v>
      </c>
      <c r="D65" s="50">
        <f>IF(D61=0,MIN(I63,I64),MIN((D63*D14*D23)/(D61/I59),I63,I64))</f>
        <v>16.7</v>
      </c>
      <c r="E65" s="51" t="s">
        <v>21</v>
      </c>
      <c r="F65" s="52" t="s">
        <v>60</v>
      </c>
      <c r="K65" s="83"/>
    </row>
    <row r="66" spans="1:11">
      <c r="A66" s="82"/>
      <c r="K66" s="83"/>
    </row>
    <row r="67" spans="1:11">
      <c r="A67" s="86" t="s">
        <v>66</v>
      </c>
      <c r="B67" s="12"/>
      <c r="C67" s="12"/>
      <c r="D67" s="53"/>
      <c r="E67" s="12"/>
      <c r="F67" s="12"/>
      <c r="G67" s="12"/>
      <c r="H67" s="12"/>
      <c r="I67" s="12"/>
      <c r="J67" s="12"/>
      <c r="K67" s="87"/>
    </row>
    <row r="68" spans="1:11">
      <c r="A68" s="89" t="s">
        <v>6</v>
      </c>
      <c r="B68" s="1" t="s">
        <v>7</v>
      </c>
      <c r="D68" s="55"/>
      <c r="K68" s="83"/>
    </row>
    <row r="69" spans="1:11">
      <c r="A69" s="82"/>
      <c r="B69" s="1" t="s">
        <v>53</v>
      </c>
      <c r="C69" s="8" t="s">
        <v>9</v>
      </c>
      <c r="D69" s="3">
        <v>0</v>
      </c>
      <c r="E69" s="1" t="s">
        <v>28</v>
      </c>
      <c r="G69" s="1" t="s">
        <v>67</v>
      </c>
      <c r="H69" s="8" t="s">
        <v>9</v>
      </c>
      <c r="I69" s="11">
        <f>MIN((D69*100)/($D$50*0.87*$D$23),(2/3)*$D$13)</f>
        <v>0</v>
      </c>
      <c r="J69" s="1" t="s">
        <v>12</v>
      </c>
      <c r="K69" s="83"/>
    </row>
    <row r="70" spans="1:11">
      <c r="A70" s="82"/>
      <c r="B70" s="1" t="s">
        <v>68</v>
      </c>
      <c r="C70" s="8" t="s">
        <v>9</v>
      </c>
      <c r="D70" s="8">
        <f>$D$20+$D$62/10</f>
        <v>5.6</v>
      </c>
      <c r="E70" s="1" t="s">
        <v>21</v>
      </c>
      <c r="G70" s="48" t="s">
        <v>69</v>
      </c>
      <c r="H70" s="49" t="s">
        <v>9</v>
      </c>
      <c r="I70" s="62" t="e">
        <f>MIN(38*(2800/I69)-2.5*D70,30*(2800/I69))</f>
        <v>#DIV/0!</v>
      </c>
      <c r="J70" s="52" t="s">
        <v>21</v>
      </c>
      <c r="K70" s="96" t="e">
        <f>IF((D70+MIN(D43,D44)/10/2)&lt;=I70,"OK","NOT OK")</f>
        <v>#DIV/0!</v>
      </c>
    </row>
    <row r="71" spans="1:11" ht="12" thickBot="1">
      <c r="A71" s="90"/>
      <c r="B71" s="91"/>
      <c r="C71" s="92"/>
      <c r="D71" s="92"/>
      <c r="E71" s="91"/>
      <c r="F71" s="91"/>
      <c r="G71" s="97"/>
      <c r="H71" s="98"/>
      <c r="I71" s="99"/>
      <c r="J71" s="97"/>
      <c r="K71" s="93"/>
    </row>
    <row r="72" spans="1:11">
      <c r="A72" s="82" t="s">
        <v>96</v>
      </c>
      <c r="C72" s="8"/>
      <c r="D72" s="8"/>
      <c r="G72" s="2"/>
      <c r="H72" s="56"/>
      <c r="I72" s="57"/>
      <c r="J72" s="2"/>
      <c r="K72" s="96"/>
    </row>
    <row r="73" spans="1:11" ht="18.75" outlineLevel="1">
      <c r="A73" s="115" t="s">
        <v>166</v>
      </c>
      <c r="K73" s="83"/>
    </row>
    <row r="74" spans="1:11" outlineLevel="1">
      <c r="A74" s="82"/>
      <c r="K74" s="83"/>
    </row>
    <row r="75" spans="1:11" outlineLevel="1">
      <c r="A75" s="82"/>
      <c r="K75" s="83"/>
    </row>
    <row r="76" spans="1:11" ht="12" outlineLevel="1" thickBot="1">
      <c r="A76" s="82"/>
      <c r="K76" s="83"/>
    </row>
    <row r="77" spans="1:11" outlineLevel="1">
      <c r="A77" s="79"/>
      <c r="B77" s="80"/>
      <c r="C77" s="80"/>
      <c r="D77" s="80"/>
      <c r="E77" s="80"/>
      <c r="F77" s="80"/>
      <c r="G77" s="80"/>
      <c r="H77" s="80"/>
      <c r="I77" s="80"/>
      <c r="J77" s="80"/>
      <c r="K77" s="81"/>
    </row>
    <row r="78" spans="1:11" outlineLevel="1">
      <c r="A78" s="82"/>
      <c r="B78" s="2" t="s">
        <v>0</v>
      </c>
      <c r="C78" s="23" t="str">
        <f>$C$6</f>
        <v>B1,B3</v>
      </c>
      <c r="I78" s="4" t="s">
        <v>1</v>
      </c>
      <c r="J78" s="23">
        <f>$J$6</f>
        <v>0</v>
      </c>
      <c r="K78" s="83"/>
    </row>
    <row r="79" spans="1:11" outlineLevel="1">
      <c r="A79" s="82"/>
      <c r="B79" s="1" t="s">
        <v>152</v>
      </c>
      <c r="I79" s="4" t="s">
        <v>2</v>
      </c>
      <c r="J79" s="23">
        <f>$J$7</f>
        <v>0</v>
      </c>
      <c r="K79" s="83"/>
    </row>
    <row r="80" spans="1:11" outlineLevel="1">
      <c r="A80" s="82"/>
      <c r="I80" s="4" t="s">
        <v>3</v>
      </c>
      <c r="J80" s="23">
        <f>$J$8</f>
        <v>0</v>
      </c>
      <c r="K80" s="83"/>
    </row>
    <row r="81" spans="1:11" outlineLevel="1">
      <c r="A81" s="82"/>
      <c r="I81" s="4" t="s">
        <v>4</v>
      </c>
      <c r="J81" s="23">
        <f>$J$9</f>
        <v>0</v>
      </c>
      <c r="K81" s="83"/>
    </row>
    <row r="82" spans="1:11" outlineLevel="1">
      <c r="A82" s="84"/>
      <c r="B82" s="17"/>
      <c r="C82" s="17"/>
      <c r="D82" s="17"/>
      <c r="E82" s="17"/>
      <c r="F82" s="17"/>
      <c r="G82" s="17"/>
      <c r="H82" s="17"/>
      <c r="I82" s="17"/>
      <c r="J82" s="17"/>
      <c r="K82" s="85"/>
    </row>
    <row r="83" spans="1:11" outlineLevel="1">
      <c r="A83" s="94" t="s">
        <v>84</v>
      </c>
      <c r="K83" s="83"/>
    </row>
    <row r="84" spans="1:11" outlineLevel="1">
      <c r="A84" s="82"/>
      <c r="B84" s="1" t="s">
        <v>38</v>
      </c>
      <c r="C84" s="8" t="s">
        <v>9</v>
      </c>
      <c r="D84" s="3">
        <v>6000</v>
      </c>
      <c r="E84" s="1" t="s">
        <v>28</v>
      </c>
      <c r="G84" s="32" t="s">
        <v>41</v>
      </c>
      <c r="H84" s="8" t="s">
        <v>9</v>
      </c>
      <c r="I84" s="8">
        <f>VLOOKUP(B4,X3:AC6,3,0)</f>
        <v>0.9</v>
      </c>
      <c r="K84" s="83"/>
    </row>
    <row r="85" spans="1:11" outlineLevel="1">
      <c r="A85" s="82"/>
      <c r="B85" s="1" t="s">
        <v>160</v>
      </c>
      <c r="C85" s="8" t="s">
        <v>9</v>
      </c>
      <c r="D85" s="11">
        <f>D84*100/(I84*$D$18*$D$24^2)</f>
        <v>19.92023936159617</v>
      </c>
      <c r="E85" s="1" t="s">
        <v>161</v>
      </c>
      <c r="G85" s="10" t="s">
        <v>162</v>
      </c>
      <c r="H85" s="8" t="s">
        <v>9</v>
      </c>
      <c r="I85" s="21">
        <f>0.85*($D$12/fy)*(1-SQRT(1-2*D85/(0.85*$D$12)))</f>
        <v>5.2940925067271613E-3</v>
      </c>
      <c r="K85" s="83"/>
    </row>
    <row r="86" spans="1:11" outlineLevel="1">
      <c r="A86" s="82"/>
      <c r="B86" s="1" t="s">
        <v>163</v>
      </c>
      <c r="C86" s="8" t="s">
        <v>9</v>
      </c>
      <c r="D86" s="11">
        <f>I85*$D$18*$D$24</f>
        <v>5.3046806917406153</v>
      </c>
      <c r="E86" s="1" t="s">
        <v>36</v>
      </c>
      <c r="K86" s="83"/>
    </row>
    <row r="87" spans="1:11" outlineLevel="1">
      <c r="A87" s="82"/>
      <c r="B87" s="33" t="s">
        <v>159</v>
      </c>
      <c r="K87" s="83"/>
    </row>
    <row r="88" spans="1:11" outlineLevel="1">
      <c r="A88" s="82"/>
      <c r="D88" s="63" t="s">
        <v>150</v>
      </c>
      <c r="E88" s="102" t="s">
        <v>45</v>
      </c>
      <c r="F88" s="63" t="s">
        <v>46</v>
      </c>
      <c r="G88" s="126" t="s">
        <v>65</v>
      </c>
      <c r="H88" s="126"/>
      <c r="K88" s="83"/>
    </row>
    <row r="89" spans="1:11" outlineLevel="1">
      <c r="A89" s="82"/>
      <c r="B89" s="119" t="s">
        <v>31</v>
      </c>
      <c r="C89" s="13"/>
      <c r="D89" s="28">
        <v>12</v>
      </c>
      <c r="E89" s="28">
        <v>2</v>
      </c>
      <c r="F89" s="121">
        <f>IF(AND(E89=0,E90=0),"N/A",(($D$18-$D$20*2-($D$62/10)*2)-((D89/10)*E89+(D90/10)*E90))/(E89+E90-1))</f>
        <v>16.400000000000002</v>
      </c>
      <c r="G89" s="122" t="str">
        <f>IF(AND(E89=0,E90=0),"N/A",IF(F89&gt;=MAX($J$18,D89/10,D90/10),"OK","NOT OK"))</f>
        <v>OK</v>
      </c>
      <c r="H89" s="122"/>
      <c r="I89" s="25"/>
      <c r="K89" s="83"/>
    </row>
    <row r="90" spans="1:11" outlineLevel="1">
      <c r="A90" s="82"/>
      <c r="B90" s="120"/>
      <c r="C90" s="18"/>
      <c r="D90" s="29"/>
      <c r="E90" s="29"/>
      <c r="F90" s="121"/>
      <c r="G90" s="122"/>
      <c r="H90" s="122"/>
      <c r="K90" s="83"/>
    </row>
    <row r="91" spans="1:11" hidden="1" outlineLevel="2">
      <c r="A91" s="82"/>
      <c r="B91" s="119" t="s">
        <v>32</v>
      </c>
      <c r="C91" s="13"/>
      <c r="D91" s="28"/>
      <c r="E91" s="28"/>
      <c r="F91" s="121" t="str">
        <f>IF(AND(E91=0,E92=0),"N/A",(($D$18-$D$20*2-($D$62/10)*2)-((D91/10)*E91+(D92/10)*E92))/(E91+E92-1))</f>
        <v>N/A</v>
      </c>
      <c r="G91" s="122" t="str">
        <f>IF(AND(E91=0,E92=0),"N/A",IF(F91&gt;=MAX($J$18,D91/10,D92/10),"OK","NOT OK"))</f>
        <v>N/A</v>
      </c>
      <c r="H91" s="122"/>
      <c r="I91" s="25"/>
      <c r="K91" s="83"/>
    </row>
    <row r="92" spans="1:11" hidden="1" outlineLevel="2">
      <c r="A92" s="82"/>
      <c r="B92" s="120"/>
      <c r="C92" s="18"/>
      <c r="D92" s="29"/>
      <c r="E92" s="29"/>
      <c r="F92" s="121"/>
      <c r="G92" s="122"/>
      <c r="H92" s="122"/>
      <c r="K92" s="83"/>
    </row>
    <row r="93" spans="1:11" hidden="1" outlineLevel="2">
      <c r="A93" s="82"/>
      <c r="B93" s="119" t="s">
        <v>33</v>
      </c>
      <c r="C93" s="13"/>
      <c r="D93" s="28"/>
      <c r="E93" s="28"/>
      <c r="F93" s="121" t="str">
        <f>IF(AND(E93=0,E94=0),"N/A",(($D$18-$D$20*2-($D$62/10)*2)-((D93/10)*E93+(D94/10)*E94))/(E93+E94-1))</f>
        <v>N/A</v>
      </c>
      <c r="G93" s="122" t="str">
        <f>IF(AND(E93=0,E94=0),"N/A",IF(F93&gt;=MAX($J$18,D93/10,D94/10),"OK","NOT OK"))</f>
        <v>N/A</v>
      </c>
      <c r="H93" s="122"/>
      <c r="I93" s="25"/>
      <c r="K93" s="83"/>
    </row>
    <row r="94" spans="1:11" hidden="1" outlineLevel="2">
      <c r="A94" s="82"/>
      <c r="B94" s="120"/>
      <c r="C94" s="18"/>
      <c r="D94" s="29"/>
      <c r="E94" s="29"/>
      <c r="F94" s="121"/>
      <c r="G94" s="122"/>
      <c r="H94" s="122"/>
      <c r="K94" s="83"/>
    </row>
    <row r="95" spans="1:11" outlineLevel="1" collapsed="1">
      <c r="A95" s="82"/>
      <c r="B95" s="1" t="s">
        <v>47</v>
      </c>
      <c r="C95" s="8" t="s">
        <v>9</v>
      </c>
      <c r="D95" s="8">
        <f>SUM(E89:E94)</f>
        <v>2</v>
      </c>
      <c r="E95" s="1" t="s">
        <v>29</v>
      </c>
      <c r="K95" s="83"/>
    </row>
    <row r="96" spans="1:11" outlineLevel="1">
      <c r="A96" s="82"/>
      <c r="B96" s="1" t="s">
        <v>34</v>
      </c>
      <c r="C96" s="8" t="s">
        <v>9</v>
      </c>
      <c r="D96" s="11">
        <f>(PI()*(D89/10)^2/4)*E89 + (PI()*(D90/10)^2/4)*E90 + (PI()*(D91/10)^2/4)*E91 + (PI()*(D92/10)^2/4)*E92 + (PI()*(D93/10)^2/4)*E93 + (PI()*(D94/10)^2/4)*E94</f>
        <v>2.2619467105846511</v>
      </c>
      <c r="E96" s="1" t="s">
        <v>36</v>
      </c>
      <c r="F96" s="34" t="s">
        <v>49</v>
      </c>
      <c r="G96" s="1">
        <f>D96/$J$20</f>
        <v>1.8849555921538759E-3</v>
      </c>
      <c r="K96" s="83"/>
    </row>
    <row r="97" spans="1:11" outlineLevel="1">
      <c r="A97" s="82"/>
      <c r="E97" s="8"/>
      <c r="K97" s="83"/>
    </row>
    <row r="98" spans="1:11" outlineLevel="1">
      <c r="A98" s="82"/>
      <c r="B98" s="33" t="s">
        <v>30</v>
      </c>
      <c r="K98" s="83"/>
    </row>
    <row r="99" spans="1:11" outlineLevel="1">
      <c r="A99" s="82"/>
      <c r="D99" s="63" t="s">
        <v>155</v>
      </c>
      <c r="E99" s="6" t="s">
        <v>45</v>
      </c>
      <c r="F99" s="63" t="s">
        <v>46</v>
      </c>
      <c r="G99" s="126" t="s">
        <v>65</v>
      </c>
      <c r="H99" s="126"/>
      <c r="K99" s="83"/>
    </row>
    <row r="100" spans="1:11" outlineLevel="1">
      <c r="A100" s="82"/>
      <c r="B100" s="119" t="s">
        <v>31</v>
      </c>
      <c r="C100" s="13"/>
      <c r="D100" s="28">
        <v>16</v>
      </c>
      <c r="E100" s="28">
        <v>3</v>
      </c>
      <c r="F100" s="121">
        <f>IF(AND(E100=0,E101=0),"N/A",(($D$18-$D$20*2-($D$62/10)*2)-((D100/10)*E100+(D101/10)*E101))/(E100+E101-1))</f>
        <v>7</v>
      </c>
      <c r="G100" s="122" t="str">
        <f>IF(AND(E100=0,E101=0),"N/A",IF(F100&gt;=MAX($J$18,D100/10,D101/10),"OK","NOT OK"))</f>
        <v>OK</v>
      </c>
      <c r="H100" s="122"/>
      <c r="I100" s="25">
        <f>1/E100</f>
        <v>0.33333333333333331</v>
      </c>
      <c r="K100" s="83"/>
    </row>
    <row r="101" spans="1:11" outlineLevel="1">
      <c r="A101" s="82"/>
      <c r="B101" s="120"/>
      <c r="C101" s="18"/>
      <c r="D101" s="29"/>
      <c r="E101" s="29"/>
      <c r="F101" s="121"/>
      <c r="G101" s="122"/>
      <c r="H101" s="122"/>
      <c r="K101" s="83"/>
    </row>
    <row r="102" spans="1:11" outlineLevel="2">
      <c r="A102" s="82"/>
      <c r="B102" s="119" t="s">
        <v>32</v>
      </c>
      <c r="C102" s="13"/>
      <c r="D102" s="28"/>
      <c r="E102" s="28"/>
      <c r="F102" s="121" t="str">
        <f>IF(AND(E102=0,E103=0),"N/A",(($D$18-$D$20*2-($D$62/10)*2)-((D102/10)*E102+(D103/10)*E103))/(E102+E103-1))</f>
        <v>N/A</v>
      </c>
      <c r="G102" s="122" t="str">
        <f>IF(AND(E102=0,E103=0),"N/A",IF(F102&gt;=MAX($J$18,D102/10,D103/10),"OK","NOT OK"))</f>
        <v>N/A</v>
      </c>
      <c r="H102" s="122"/>
      <c r="I102" s="25"/>
      <c r="K102" s="83"/>
    </row>
    <row r="103" spans="1:11" outlineLevel="2">
      <c r="A103" s="82"/>
      <c r="B103" s="120"/>
      <c r="C103" s="18"/>
      <c r="D103" s="29"/>
      <c r="E103" s="29"/>
      <c r="F103" s="121"/>
      <c r="G103" s="122"/>
      <c r="H103" s="122"/>
      <c r="K103" s="83"/>
    </row>
    <row r="104" spans="1:11" outlineLevel="2">
      <c r="A104" s="82"/>
      <c r="B104" s="119" t="s">
        <v>33</v>
      </c>
      <c r="C104" s="13"/>
      <c r="D104" s="28"/>
      <c r="E104" s="28"/>
      <c r="F104" s="121" t="str">
        <f>IF(AND(E104=0,E105=0),"N/A",(($D$18-$D$20*2-($D$62/10)*2)-((D104/10)*E104+(D105/10)*E105))/(E104+E105-1))</f>
        <v>N/A</v>
      </c>
      <c r="G104" s="122" t="str">
        <f>IF(AND(E104=0,E105=0),"N/A",IF(F104&gt;=MAX($J$18,D104/10,D105/10),"OK","NOT OK"))</f>
        <v>N/A</v>
      </c>
      <c r="H104" s="122"/>
      <c r="I104" s="25"/>
      <c r="K104" s="83"/>
    </row>
    <row r="105" spans="1:11" outlineLevel="2">
      <c r="A105" s="82"/>
      <c r="B105" s="120"/>
      <c r="C105" s="18"/>
      <c r="D105" s="29"/>
      <c r="E105" s="29"/>
      <c r="F105" s="121"/>
      <c r="G105" s="122"/>
      <c r="H105" s="122"/>
      <c r="K105" s="83"/>
    </row>
    <row r="106" spans="1:11" outlineLevel="1">
      <c r="A106" s="82"/>
      <c r="B106" s="1" t="s">
        <v>47</v>
      </c>
      <c r="C106" s="8" t="s">
        <v>9</v>
      </c>
      <c r="D106" s="8">
        <f>SUM(E100:E103)</f>
        <v>3</v>
      </c>
      <c r="E106" s="1" t="s">
        <v>29</v>
      </c>
      <c r="K106" s="83"/>
    </row>
    <row r="107" spans="1:11" outlineLevel="1">
      <c r="A107" s="82"/>
      <c r="B107" s="1" t="s">
        <v>35</v>
      </c>
      <c r="C107" s="8" t="s">
        <v>9</v>
      </c>
      <c r="D107" s="11">
        <f>(PI()*(D104/10)^2/4)*E104 + (PI()*(D105/10)^2/4)*E105 + (PI()*(D102/10)^2/4)*E102 + (PI()*(D103/10)^2/4)*E103 + (PI()*(D100/10)^2/4)*E100 + (PI()*(D101/10)^2/4)*E101</f>
        <v>6.0318578948924033</v>
      </c>
      <c r="E107" s="1" t="s">
        <v>36</v>
      </c>
      <c r="F107" s="34" t="s">
        <v>48</v>
      </c>
      <c r="G107" s="21">
        <f>D107/(D18*D24)</f>
        <v>6.0198182583756522E-3</v>
      </c>
      <c r="I107" s="35" t="str">
        <f>IF(AND(G107&lt;=G109,G107&gt;=G108),"OK",IF(G107&lt;=G108,"NOT OK As &lt; As min","NOT OK As &gt; As max"))</f>
        <v>OK</v>
      </c>
      <c r="K107" s="83"/>
    </row>
    <row r="108" spans="1:11" outlineLevel="1">
      <c r="A108" s="82"/>
      <c r="B108" s="1" t="s">
        <v>63</v>
      </c>
      <c r="C108" s="8" t="s">
        <v>9</v>
      </c>
      <c r="D108" s="8">
        <f>G108*$D$18*$D$23</f>
        <v>3.5069999999999997</v>
      </c>
      <c r="E108" s="1" t="s">
        <v>36</v>
      </c>
      <c r="F108" s="34" t="s">
        <v>64</v>
      </c>
      <c r="G108" s="21">
        <f>VLOOKUP(B4,X3:AC6,5,0)</f>
        <v>3.5000000000000001E-3</v>
      </c>
      <c r="K108" s="83"/>
    </row>
    <row r="109" spans="1:11" outlineLevel="1">
      <c r="A109" s="82"/>
      <c r="B109" s="1" t="s">
        <v>165</v>
      </c>
      <c r="C109" s="8" t="s">
        <v>9</v>
      </c>
      <c r="D109" s="11">
        <f>G109*$D$18*$D$24</f>
        <v>14.30856</v>
      </c>
      <c r="E109" s="1" t="s">
        <v>36</v>
      </c>
      <c r="F109" s="10" t="s">
        <v>50</v>
      </c>
      <c r="G109" s="21">
        <f>VLOOKUP(B4,X3:AC6,6,0)</f>
        <v>1.4280000000000001E-2</v>
      </c>
      <c r="K109" s="83"/>
    </row>
    <row r="110" spans="1:11" outlineLevel="1">
      <c r="A110" s="82"/>
      <c r="B110" s="10" t="s">
        <v>51</v>
      </c>
      <c r="C110" s="8" t="s">
        <v>9</v>
      </c>
      <c r="D110" s="11">
        <f>(D107*fy)/(0.85*$D$12*$D$18)</f>
        <v>4.5055894639719165</v>
      </c>
      <c r="E110" s="8"/>
      <c r="F110" s="20"/>
      <c r="I110" s="19"/>
      <c r="K110" s="83"/>
    </row>
    <row r="111" spans="1:11" outlineLevel="1">
      <c r="A111" s="82"/>
      <c r="C111" s="8"/>
      <c r="D111" s="11"/>
      <c r="G111" s="1" t="s">
        <v>53</v>
      </c>
      <c r="H111" s="8" t="s">
        <v>9</v>
      </c>
      <c r="I111" s="9">
        <f>D107*fy*($D$23-D110/2)/100</f>
        <v>7515.0206399881899</v>
      </c>
      <c r="J111" s="1" t="s">
        <v>28</v>
      </c>
      <c r="K111" s="83"/>
    </row>
    <row r="112" spans="1:11" outlineLevel="1">
      <c r="A112" s="82"/>
      <c r="G112" s="100" t="s">
        <v>54</v>
      </c>
      <c r="H112" s="56" t="s">
        <v>9</v>
      </c>
      <c r="I112" s="101">
        <f>I111*I84</f>
        <v>6763.5185759893711</v>
      </c>
      <c r="J112" s="2" t="s">
        <v>28</v>
      </c>
      <c r="K112" s="83"/>
    </row>
    <row r="113" spans="1:11" outlineLevel="1">
      <c r="A113" s="82"/>
      <c r="G113" s="2" t="s">
        <v>55</v>
      </c>
      <c r="H113" s="56" t="s">
        <v>9</v>
      </c>
      <c r="I113" s="57">
        <f>D84/I112</f>
        <v>0.88711222311122528</v>
      </c>
      <c r="J113" s="56" t="str">
        <f>IF(I112&gt;=D84,"OK","NOT OK")</f>
        <v>OK</v>
      </c>
      <c r="K113" s="83"/>
    </row>
    <row r="114" spans="1:11" ht="12" outlineLevel="1" thickBot="1">
      <c r="A114" s="90"/>
      <c r="B114" s="91"/>
      <c r="C114" s="91"/>
      <c r="D114" s="91"/>
      <c r="E114" s="91"/>
      <c r="F114" s="91"/>
      <c r="G114" s="91"/>
      <c r="H114" s="91"/>
      <c r="I114" s="91"/>
      <c r="J114" s="91"/>
      <c r="K114" s="95"/>
    </row>
    <row r="115" spans="1:11" outlineLevel="1">
      <c r="A115" s="94" t="s">
        <v>66</v>
      </c>
      <c r="D115" s="55"/>
      <c r="K115" s="83"/>
    </row>
    <row r="116" spans="1:11" outlineLevel="1">
      <c r="A116" s="89" t="s">
        <v>6</v>
      </c>
      <c r="B116" s="1" t="s">
        <v>7</v>
      </c>
      <c r="D116" s="55"/>
      <c r="K116" s="83"/>
    </row>
    <row r="117" spans="1:11" outlineLevel="1">
      <c r="A117" s="82"/>
      <c r="B117" s="1" t="s">
        <v>53</v>
      </c>
      <c r="C117" s="8" t="s">
        <v>9</v>
      </c>
      <c r="D117" s="3">
        <v>0</v>
      </c>
      <c r="E117" s="1" t="s">
        <v>28</v>
      </c>
      <c r="G117" s="1" t="s">
        <v>67</v>
      </c>
      <c r="H117" s="8" t="s">
        <v>9</v>
      </c>
      <c r="I117" s="11">
        <f>MIN((D117*100)/($D$107*0.87*$D$23),$D$13)</f>
        <v>0</v>
      </c>
      <c r="J117" s="1" t="s">
        <v>12</v>
      </c>
      <c r="K117" s="83"/>
    </row>
    <row r="118" spans="1:11" outlineLevel="1">
      <c r="A118" s="82"/>
      <c r="B118" s="1" t="s">
        <v>68</v>
      </c>
      <c r="C118" s="8" t="s">
        <v>9</v>
      </c>
      <c r="D118" s="8">
        <f>$D$20+$D$62/10</f>
        <v>5.6</v>
      </c>
      <c r="E118" s="1" t="s">
        <v>21</v>
      </c>
      <c r="G118" s="2" t="s">
        <v>69</v>
      </c>
      <c r="H118" s="56" t="s">
        <v>9</v>
      </c>
      <c r="I118" s="57" t="e">
        <f>MIN(38*(2800/I117)-2.5*D118,30*(2800/I117))</f>
        <v>#DIV/0!</v>
      </c>
      <c r="J118" s="2" t="s">
        <v>21</v>
      </c>
      <c r="K118" s="96" t="e">
        <f>IF((D118+MIN(D91,D92)/10/2)&lt;=I118,"OK","NOT OK")</f>
        <v>#DIV/0!</v>
      </c>
    </row>
    <row r="119" spans="1:11" ht="12" outlineLevel="1" thickBot="1">
      <c r="A119" s="90"/>
      <c r="B119" s="91"/>
      <c r="C119" s="92"/>
      <c r="D119" s="92"/>
      <c r="E119" s="91"/>
      <c r="F119" s="91"/>
      <c r="G119" s="97"/>
      <c r="H119" s="98"/>
      <c r="I119" s="99"/>
      <c r="J119" s="97"/>
      <c r="K119" s="93"/>
    </row>
    <row r="121" spans="1:11" ht="18.75">
      <c r="A121" s="76" t="s">
        <v>166</v>
      </c>
    </row>
    <row r="124" spans="1:11" ht="12" thickBot="1">
      <c r="A124" s="1" t="s">
        <v>6</v>
      </c>
      <c r="B124" s="1" t="s">
        <v>7</v>
      </c>
    </row>
    <row r="125" spans="1:11">
      <c r="A125" s="79"/>
      <c r="B125" s="80"/>
      <c r="C125" s="80"/>
      <c r="D125" s="80"/>
      <c r="E125" s="80"/>
      <c r="F125" s="80"/>
      <c r="G125" s="80"/>
      <c r="H125" s="80"/>
      <c r="I125" s="80"/>
      <c r="J125" s="80"/>
      <c r="K125" s="81"/>
    </row>
    <row r="126" spans="1:11">
      <c r="A126" s="82"/>
      <c r="B126" s="2" t="s">
        <v>0</v>
      </c>
      <c r="C126" s="23" t="str">
        <f>$C$6</f>
        <v>B1,B3</v>
      </c>
      <c r="I126" s="4" t="s">
        <v>1</v>
      </c>
      <c r="J126" s="23">
        <f>$J$6</f>
        <v>0</v>
      </c>
      <c r="K126" s="83"/>
    </row>
    <row r="127" spans="1:11">
      <c r="A127" s="82"/>
      <c r="B127" s="1" t="s">
        <v>153</v>
      </c>
      <c r="I127" s="4" t="s">
        <v>2</v>
      </c>
      <c r="J127" s="23">
        <f>$J$7</f>
        <v>0</v>
      </c>
      <c r="K127" s="83"/>
    </row>
    <row r="128" spans="1:11">
      <c r="A128" s="82"/>
      <c r="I128" s="4" t="s">
        <v>3</v>
      </c>
      <c r="J128" s="23">
        <f>$J$8</f>
        <v>0</v>
      </c>
      <c r="K128" s="83"/>
    </row>
    <row r="129" spans="1:11">
      <c r="A129" s="82"/>
      <c r="I129" s="4" t="s">
        <v>4</v>
      </c>
      <c r="J129" s="23">
        <f>$J$9</f>
        <v>0</v>
      </c>
      <c r="K129" s="83"/>
    </row>
    <row r="130" spans="1:11">
      <c r="A130" s="84"/>
      <c r="B130" s="17"/>
      <c r="C130" s="17"/>
      <c r="D130" s="17"/>
      <c r="E130" s="17"/>
      <c r="F130" s="17"/>
      <c r="G130" s="17"/>
      <c r="H130" s="17"/>
      <c r="I130" s="17"/>
      <c r="J130" s="17"/>
      <c r="K130" s="85"/>
    </row>
    <row r="131" spans="1:11">
      <c r="A131" s="86" t="s">
        <v>102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87"/>
    </row>
    <row r="132" spans="1:11">
      <c r="A132" s="94"/>
      <c r="B132" s="1" t="s">
        <v>85</v>
      </c>
      <c r="C132" s="8" t="s">
        <v>9</v>
      </c>
      <c r="D132" s="61" t="s">
        <v>86</v>
      </c>
      <c r="G132" s="34" t="s">
        <v>75</v>
      </c>
      <c r="H132" s="8" t="s">
        <v>9</v>
      </c>
      <c r="I132" s="3">
        <v>2</v>
      </c>
      <c r="K132" s="83"/>
    </row>
    <row r="133" spans="1:11">
      <c r="A133" s="94"/>
      <c r="B133" s="1" t="s">
        <v>98</v>
      </c>
      <c r="C133" s="8" t="s">
        <v>9</v>
      </c>
      <c r="D133" s="3">
        <v>10.84</v>
      </c>
      <c r="E133" s="1" t="s">
        <v>99</v>
      </c>
      <c r="G133" s="25" t="s">
        <v>120</v>
      </c>
      <c r="H133" s="8" t="s">
        <v>9</v>
      </c>
      <c r="I133" s="3">
        <v>0.3</v>
      </c>
      <c r="J133" s="1" t="s">
        <v>113</v>
      </c>
      <c r="K133" s="83"/>
    </row>
    <row r="134" spans="1:11">
      <c r="A134" s="94"/>
      <c r="B134" s="72" t="s">
        <v>94</v>
      </c>
      <c r="C134" s="12"/>
      <c r="D134" s="12"/>
      <c r="E134" s="12"/>
      <c r="F134" s="12"/>
      <c r="G134" s="12"/>
      <c r="H134" s="12"/>
      <c r="I134" s="12"/>
      <c r="J134" s="13"/>
      <c r="K134" s="83"/>
    </row>
    <row r="135" spans="1:11">
      <c r="A135" s="89"/>
      <c r="B135" s="16" t="s">
        <v>81</v>
      </c>
      <c r="C135" s="54" t="s">
        <v>9</v>
      </c>
      <c r="D135" s="73">
        <f>30.059*1000</f>
        <v>30059</v>
      </c>
      <c r="E135" s="17" t="s">
        <v>28</v>
      </c>
      <c r="F135" s="17"/>
      <c r="G135" s="74" t="s">
        <v>82</v>
      </c>
      <c r="H135" s="54" t="s">
        <v>9</v>
      </c>
      <c r="I135" s="73">
        <f>18.59*1000</f>
        <v>18590</v>
      </c>
      <c r="J135" s="18" t="s">
        <v>28</v>
      </c>
      <c r="K135" s="83"/>
    </row>
    <row r="136" spans="1:11" hidden="1" outlineLevel="1">
      <c r="A136" s="89"/>
      <c r="B136" s="14" t="s">
        <v>109</v>
      </c>
      <c r="C136" s="8" t="s">
        <v>9</v>
      </c>
      <c r="D136" s="8">
        <f>D135</f>
        <v>30059</v>
      </c>
      <c r="E136" s="1" t="s">
        <v>28</v>
      </c>
      <c r="G136" s="1" t="s">
        <v>106</v>
      </c>
      <c r="H136" s="8" t="s">
        <v>9</v>
      </c>
      <c r="I136" s="8">
        <f>D136+I135</f>
        <v>48649</v>
      </c>
      <c r="J136" s="15" t="s">
        <v>28</v>
      </c>
      <c r="K136" s="83"/>
    </row>
    <row r="137" spans="1:11" hidden="1" outlineLevel="1">
      <c r="A137" s="89"/>
      <c r="B137" s="14" t="s">
        <v>122</v>
      </c>
      <c r="C137" s="8" t="s">
        <v>9</v>
      </c>
      <c r="D137" s="8">
        <f>D136+I135*I133</f>
        <v>35636</v>
      </c>
      <c r="E137" s="1" t="s">
        <v>28</v>
      </c>
      <c r="H137" s="8"/>
      <c r="I137" s="8"/>
      <c r="J137" s="15"/>
      <c r="K137" s="83"/>
    </row>
    <row r="138" spans="1:11" hidden="1" outlineLevel="1">
      <c r="A138" s="89"/>
      <c r="B138" s="14" t="s">
        <v>105</v>
      </c>
      <c r="C138" s="8" t="s">
        <v>9</v>
      </c>
      <c r="D138" s="22">
        <f>IF(D136=0,"NA",$J$22/D136)</f>
        <v>7.7135642549329975E-2</v>
      </c>
      <c r="G138" s="25" t="s">
        <v>107</v>
      </c>
      <c r="H138" s="8" t="s">
        <v>9</v>
      </c>
      <c r="I138" s="22">
        <f>IF(D136=0,"NA",($J$22/D136)^3)</f>
        <v>4.5894992666678074E-4</v>
      </c>
      <c r="J138" s="15"/>
      <c r="K138" s="83"/>
    </row>
    <row r="139" spans="1:11" hidden="1" outlineLevel="1">
      <c r="A139" s="89"/>
      <c r="B139" s="14" t="s">
        <v>104</v>
      </c>
      <c r="C139" s="8" t="s">
        <v>9</v>
      </c>
      <c r="D139" s="22">
        <f>IF(I136=0,"NA",$J$22/I136)</f>
        <v>4.7660183752807041E-2</v>
      </c>
      <c r="G139" s="25" t="s">
        <v>108</v>
      </c>
      <c r="H139" s="8" t="s">
        <v>9</v>
      </c>
      <c r="I139" s="22">
        <f>IF(I136=0,"NA",($J$22/I136)^3)</f>
        <v>1.0825977927088061E-4</v>
      </c>
      <c r="J139" s="15"/>
      <c r="K139" s="83"/>
    </row>
    <row r="140" spans="1:11" hidden="1" outlineLevel="1">
      <c r="A140" s="89"/>
      <c r="B140" s="14" t="s">
        <v>121</v>
      </c>
      <c r="C140" s="8" t="s">
        <v>9</v>
      </c>
      <c r="D140" s="22">
        <f>IF(D137=0,"NA",$J$22/D137)</f>
        <v>6.5063988084810578E-2</v>
      </c>
      <c r="G140" s="25" t="s">
        <v>158</v>
      </c>
      <c r="H140" s="8" t="s">
        <v>9</v>
      </c>
      <c r="I140" s="75">
        <f>IF(D137=0,"NA",($J$22/D137)^3)</f>
        <v>2.7543684765959621E-4</v>
      </c>
      <c r="J140" s="15"/>
      <c r="K140" s="83"/>
    </row>
    <row r="141" spans="1:11" hidden="1" outlineLevel="1">
      <c r="A141" s="89"/>
      <c r="B141" s="14" t="s">
        <v>73</v>
      </c>
      <c r="C141" s="8" t="s">
        <v>9</v>
      </c>
      <c r="D141" s="22">
        <f>$D$18/($I$14*D50)</f>
        <v>0.25607537532780317</v>
      </c>
      <c r="G141" s="1" t="s">
        <v>74</v>
      </c>
      <c r="H141" s="8" t="s">
        <v>9</v>
      </c>
      <c r="I141" s="22">
        <f>($I$14-1)*D39/($I$14*D50)</f>
        <v>0.8927353976139899</v>
      </c>
      <c r="J141" s="15"/>
      <c r="K141" s="83"/>
    </row>
    <row r="142" spans="1:11" hidden="1" outlineLevel="1">
      <c r="A142" s="89"/>
      <c r="B142" s="16" t="s">
        <v>75</v>
      </c>
      <c r="C142" s="54" t="s">
        <v>9</v>
      </c>
      <c r="D142" s="64">
        <f>(SQRT(2*$D$23*D141*(1+I141*$D$21/$D$23)+(1+I141)^2)-(1+I141))/D141</f>
        <v>11.622106631822783</v>
      </c>
      <c r="E142" s="17" t="s">
        <v>52</v>
      </c>
      <c r="F142" s="17"/>
      <c r="G142" s="17" t="s">
        <v>76</v>
      </c>
      <c r="H142" s="54" t="s">
        <v>9</v>
      </c>
      <c r="I142" s="65">
        <f>($D$18*(D142^3))/3+($I$14*D50*($D$23-D142)^2)+($I$14-1)*D39*(D142-$D$21)^2</f>
        <v>73899.14184115293</v>
      </c>
      <c r="J142" s="18" t="s">
        <v>27</v>
      </c>
      <c r="K142" s="83"/>
    </row>
    <row r="143" spans="1:11" collapsed="1">
      <c r="A143" s="89"/>
      <c r="C143" s="8"/>
      <c r="D143" s="11"/>
      <c r="H143" s="8"/>
      <c r="I143" s="9"/>
      <c r="K143" s="83"/>
    </row>
    <row r="144" spans="1:11">
      <c r="A144" s="89"/>
      <c r="B144" s="72" t="s">
        <v>93</v>
      </c>
      <c r="C144" s="12"/>
      <c r="D144" s="68" t="s">
        <v>119</v>
      </c>
      <c r="E144" s="12"/>
      <c r="F144" s="12"/>
      <c r="G144" s="12"/>
      <c r="H144" s="12"/>
      <c r="I144" s="12"/>
      <c r="J144" s="13"/>
      <c r="K144" s="83"/>
    </row>
    <row r="145" spans="1:11">
      <c r="A145" s="89"/>
      <c r="B145" s="16" t="s">
        <v>81</v>
      </c>
      <c r="C145" s="54" t="s">
        <v>9</v>
      </c>
      <c r="D145" s="73">
        <v>0</v>
      </c>
      <c r="E145" s="17" t="s">
        <v>28</v>
      </c>
      <c r="F145" s="17"/>
      <c r="G145" s="74" t="s">
        <v>82</v>
      </c>
      <c r="H145" s="54" t="s">
        <v>9</v>
      </c>
      <c r="I145" s="73">
        <v>0</v>
      </c>
      <c r="J145" s="18" t="s">
        <v>28</v>
      </c>
      <c r="K145" s="83"/>
    </row>
    <row r="146" spans="1:11" hidden="1" outlineLevel="1">
      <c r="A146" s="89"/>
      <c r="B146" s="14" t="s">
        <v>109</v>
      </c>
      <c r="C146" s="8" t="s">
        <v>9</v>
      </c>
      <c r="D146" s="8">
        <f>D145</f>
        <v>0</v>
      </c>
      <c r="E146" s="1" t="s">
        <v>28</v>
      </c>
      <c r="G146" s="1" t="s">
        <v>106</v>
      </c>
      <c r="H146" s="8" t="s">
        <v>9</v>
      </c>
      <c r="I146" s="8">
        <f>D145+I145</f>
        <v>0</v>
      </c>
      <c r="J146" s="15" t="s">
        <v>28</v>
      </c>
      <c r="K146" s="83"/>
    </row>
    <row r="147" spans="1:11" hidden="1" outlineLevel="1">
      <c r="A147" s="89"/>
      <c r="B147" s="14" t="s">
        <v>122</v>
      </c>
      <c r="C147" s="8" t="s">
        <v>9</v>
      </c>
      <c r="D147" s="8">
        <f>D145+I145*I133</f>
        <v>0</v>
      </c>
      <c r="E147" s="1" t="s">
        <v>28</v>
      </c>
      <c r="H147" s="8"/>
      <c r="I147" s="8"/>
      <c r="J147" s="15"/>
      <c r="K147" s="83"/>
    </row>
    <row r="148" spans="1:11" hidden="1" outlineLevel="1">
      <c r="A148" s="89"/>
      <c r="B148" s="14" t="s">
        <v>105</v>
      </c>
      <c r="C148" s="8" t="s">
        <v>9</v>
      </c>
      <c r="D148" s="22" t="str">
        <f>IF(D146=0,"NA",$J$22/D146)</f>
        <v>NA</v>
      </c>
      <c r="G148" s="25" t="s">
        <v>107</v>
      </c>
      <c r="H148" s="8" t="s">
        <v>9</v>
      </c>
      <c r="I148" s="22" t="str">
        <f>IF(D146=0,"NA",($J$22/D146)^3)</f>
        <v>NA</v>
      </c>
      <c r="J148" s="15"/>
      <c r="K148" s="83"/>
    </row>
    <row r="149" spans="1:11" hidden="1" outlineLevel="1">
      <c r="A149" s="89"/>
      <c r="B149" s="14" t="s">
        <v>104</v>
      </c>
      <c r="C149" s="8" t="s">
        <v>9</v>
      </c>
      <c r="D149" s="22" t="str">
        <f>IF(I146=0,"NA",$J$22/I146)</f>
        <v>NA</v>
      </c>
      <c r="G149" s="25" t="s">
        <v>108</v>
      </c>
      <c r="H149" s="8" t="s">
        <v>9</v>
      </c>
      <c r="I149" s="22" t="str">
        <f>IF(I146=0,"NA",($J$22/I146)^3)</f>
        <v>NA</v>
      </c>
      <c r="J149" s="15"/>
      <c r="K149" s="83"/>
    </row>
    <row r="150" spans="1:11" hidden="1" outlineLevel="1">
      <c r="A150" s="89"/>
      <c r="B150" s="14" t="s">
        <v>121</v>
      </c>
      <c r="C150" s="8" t="s">
        <v>9</v>
      </c>
      <c r="D150" s="22" t="str">
        <f>IF(D147=0,"NA",$J$22/D147)</f>
        <v>NA</v>
      </c>
      <c r="G150" s="25" t="s">
        <v>158</v>
      </c>
      <c r="H150" s="8" t="s">
        <v>9</v>
      </c>
      <c r="I150" s="22" t="str">
        <f>IF(D147=0,"NA",($J$22/D147)^3)</f>
        <v>NA</v>
      </c>
      <c r="J150" s="15"/>
      <c r="K150" s="83"/>
    </row>
    <row r="151" spans="1:11" hidden="1" outlineLevel="1">
      <c r="A151" s="89"/>
      <c r="B151" s="14" t="s">
        <v>73</v>
      </c>
      <c r="C151" s="8" t="s">
        <v>9</v>
      </c>
      <c r="D151" s="22">
        <f>$D$18/($I$14*D107)</f>
        <v>0.53349036526625659</v>
      </c>
      <c r="G151" s="1" t="s">
        <v>74</v>
      </c>
      <c r="H151" s="8" t="s">
        <v>9</v>
      </c>
      <c r="I151" s="22">
        <f>($I$14-1)*D96/($I$14*D107)</f>
        <v>0.33477577410524623</v>
      </c>
      <c r="J151" s="15"/>
      <c r="K151" s="83"/>
    </row>
    <row r="152" spans="1:11" hidden="1" outlineLevel="1">
      <c r="A152" s="82"/>
      <c r="B152" s="16" t="s">
        <v>75</v>
      </c>
      <c r="C152" s="54" t="s">
        <v>9</v>
      </c>
      <c r="D152" s="64">
        <f>(SQRT(2*$D$23*D151*(1+I151*$D$21/$D$23)+(1+I151)^2)-(1+I151))/D151</f>
        <v>9.3198863371411083</v>
      </c>
      <c r="E152" s="17" t="s">
        <v>52</v>
      </c>
      <c r="F152" s="17"/>
      <c r="G152" s="17" t="s">
        <v>76</v>
      </c>
      <c r="H152" s="54" t="s">
        <v>9</v>
      </c>
      <c r="I152" s="65">
        <f>($D$18*(D152^3))/3+($I$14*D107*($D$23-D152)^2)+($I$14-1)*D96*(D152-$D$21)^2</f>
        <v>40841.614385780493</v>
      </c>
      <c r="J152" s="18" t="s">
        <v>27</v>
      </c>
      <c r="K152" s="83"/>
    </row>
    <row r="153" spans="1:11" collapsed="1">
      <c r="A153" s="82"/>
      <c r="K153" s="83"/>
    </row>
    <row r="154" spans="1:11" hidden="1" outlineLevel="1">
      <c r="A154" s="82"/>
      <c r="B154" s="2" t="s">
        <v>115</v>
      </c>
      <c r="K154" s="83"/>
    </row>
    <row r="155" spans="1:11" hidden="1" outlineLevel="1">
      <c r="A155" s="82"/>
      <c r="B155" s="1" t="s">
        <v>89</v>
      </c>
      <c r="C155" s="8" t="s">
        <v>9</v>
      </c>
      <c r="D155" s="9">
        <f>MIN(I138*$J$21+(1-I138)*I142,$J$21)</f>
        <v>73938.657823690883</v>
      </c>
      <c r="E155" s="1" t="s">
        <v>27</v>
      </c>
      <c r="K155" s="83"/>
    </row>
    <row r="156" spans="1:11" hidden="1" outlineLevel="1">
      <c r="A156" s="82"/>
      <c r="B156" s="1" t="s">
        <v>90</v>
      </c>
      <c r="C156" s="8" t="s">
        <v>9</v>
      </c>
      <c r="D156" s="9" t="e">
        <f>MIN(I148*$J$21+(1-I148)*I152,$J$21)</f>
        <v>#VALUE!</v>
      </c>
      <c r="E156" s="1" t="s">
        <v>27</v>
      </c>
      <c r="G156" s="1" t="s">
        <v>91</v>
      </c>
      <c r="H156" s="8" t="s">
        <v>9</v>
      </c>
      <c r="I156" s="9" t="e">
        <f>D156</f>
        <v>#VALUE!</v>
      </c>
      <c r="J156" s="1" t="s">
        <v>27</v>
      </c>
      <c r="K156" s="83"/>
    </row>
    <row r="157" spans="1:11" hidden="1" outlineLevel="1">
      <c r="A157" s="82"/>
      <c r="B157" s="2" t="s">
        <v>116</v>
      </c>
      <c r="C157" s="8"/>
      <c r="K157" s="83"/>
    </row>
    <row r="158" spans="1:11" hidden="1" outlineLevel="1">
      <c r="A158" s="82"/>
      <c r="B158" s="1" t="s">
        <v>89</v>
      </c>
      <c r="C158" s="8" t="s">
        <v>9</v>
      </c>
      <c r="D158" s="9">
        <f>MIN(I139*$J$21+(1-I139)*I142,$J$21)</f>
        <v>73908.463101052243</v>
      </c>
      <c r="E158" s="1" t="s">
        <v>27</v>
      </c>
      <c r="F158" s="58"/>
      <c r="K158" s="83"/>
    </row>
    <row r="159" spans="1:11" hidden="1" outlineLevel="1">
      <c r="A159" s="82"/>
      <c r="B159" s="1" t="s">
        <v>90</v>
      </c>
      <c r="C159" s="8" t="s">
        <v>9</v>
      </c>
      <c r="D159" s="9" t="e">
        <f>MIN(I149*$J$21+(1-I149)*I152,$J$21)</f>
        <v>#VALUE!</v>
      </c>
      <c r="E159" s="1" t="s">
        <v>27</v>
      </c>
      <c r="G159" s="1" t="s">
        <v>91</v>
      </c>
      <c r="I159" s="9" t="e">
        <f>D159</f>
        <v>#VALUE!</v>
      </c>
      <c r="J159" s="1" t="s">
        <v>27</v>
      </c>
      <c r="K159" s="83"/>
    </row>
    <row r="160" spans="1:11" hidden="1" outlineLevel="1">
      <c r="A160" s="82"/>
      <c r="B160" s="2" t="s">
        <v>123</v>
      </c>
      <c r="C160" s="8"/>
      <c r="K160" s="83"/>
    </row>
    <row r="161" spans="1:13" hidden="1" outlineLevel="1">
      <c r="A161" s="82"/>
      <c r="B161" s="1" t="s">
        <v>89</v>
      </c>
      <c r="C161" s="8" t="s">
        <v>9</v>
      </c>
      <c r="D161" s="9">
        <f>MIN(I140*$J$21+(1-I140)*I142,$J$21)</f>
        <v>73922.857190104987</v>
      </c>
      <c r="E161" s="1" t="s">
        <v>27</v>
      </c>
      <c r="F161" s="58"/>
      <c r="K161" s="83"/>
    </row>
    <row r="162" spans="1:13" hidden="1" outlineLevel="1">
      <c r="A162" s="82"/>
      <c r="B162" s="1" t="s">
        <v>90</v>
      </c>
      <c r="C162" s="8" t="s">
        <v>9</v>
      </c>
      <c r="D162" s="9" t="e">
        <f>MIN(I150*$J$21+(1-I150)*I152,$J$21)</f>
        <v>#VALUE!</v>
      </c>
      <c r="E162" s="1" t="s">
        <v>27</v>
      </c>
      <c r="G162" s="1" t="s">
        <v>91</v>
      </c>
      <c r="I162" s="9" t="e">
        <f>D162</f>
        <v>#VALUE!</v>
      </c>
      <c r="J162" s="1" t="s">
        <v>27</v>
      </c>
      <c r="K162" s="83"/>
    </row>
    <row r="163" spans="1:13" collapsed="1">
      <c r="A163" s="82"/>
      <c r="K163" s="83"/>
    </row>
    <row r="164" spans="1:13">
      <c r="A164" s="82"/>
      <c r="B164" s="1" t="s">
        <v>110</v>
      </c>
      <c r="C164" s="8" t="s">
        <v>9</v>
      </c>
      <c r="D164" s="9">
        <f>VLOOKUP(D132,X10:Y13,2,0)</f>
        <v>73938.657823690883</v>
      </c>
      <c r="E164" s="1" t="s">
        <v>27</v>
      </c>
      <c r="F164" s="8" t="s">
        <v>9</v>
      </c>
      <c r="G164" s="11">
        <f>D164/$J$21</f>
        <v>0.46211661139806803</v>
      </c>
      <c r="H164" s="1" t="s">
        <v>26</v>
      </c>
      <c r="K164" s="83"/>
    </row>
    <row r="165" spans="1:13">
      <c r="A165" s="82"/>
      <c r="B165" s="1" t="s">
        <v>111</v>
      </c>
      <c r="C165" s="8" t="s">
        <v>9</v>
      </c>
      <c r="D165" s="9">
        <f>VLOOKUP(D132,X10:AB13,5,0)</f>
        <v>73908.463101052243</v>
      </c>
      <c r="E165" s="1" t="s">
        <v>27</v>
      </c>
      <c r="F165" s="8" t="s">
        <v>9</v>
      </c>
      <c r="G165" s="11">
        <f>D165/$J$21</f>
        <v>0.4619278943815765</v>
      </c>
      <c r="H165" s="1" t="s">
        <v>26</v>
      </c>
      <c r="K165" s="83"/>
    </row>
    <row r="166" spans="1:13">
      <c r="A166" s="82"/>
      <c r="B166" s="1" t="s">
        <v>126</v>
      </c>
      <c r="C166" s="8" t="s">
        <v>9</v>
      </c>
      <c r="D166" s="9">
        <f>VLOOKUP(D132,X10:AG13,8,0)</f>
        <v>73922.857190104987</v>
      </c>
      <c r="E166" s="1" t="s">
        <v>27</v>
      </c>
      <c r="F166" s="8" t="s">
        <v>9</v>
      </c>
      <c r="G166" s="11">
        <f>D166/$J$21</f>
        <v>0.46201785743815615</v>
      </c>
      <c r="H166" s="1" t="s">
        <v>26</v>
      </c>
      <c r="K166" s="83"/>
      <c r="M166" s="1">
        <f>0.85*0.53*SQRT(320)*350*65</f>
        <v>183337.44954318527</v>
      </c>
    </row>
    <row r="167" spans="1:13">
      <c r="A167" s="82"/>
      <c r="C167" s="8"/>
      <c r="D167" s="9"/>
      <c r="F167" s="8"/>
      <c r="G167" s="11"/>
      <c r="K167" s="83"/>
    </row>
    <row r="168" spans="1:13">
      <c r="A168" s="82"/>
      <c r="B168" s="2" t="s">
        <v>100</v>
      </c>
      <c r="K168" s="83"/>
    </row>
    <row r="169" spans="1:13">
      <c r="A169" s="82"/>
      <c r="B169" s="10" t="s">
        <v>97</v>
      </c>
      <c r="C169" s="8" t="s">
        <v>9</v>
      </c>
      <c r="D169" s="11">
        <f>VLOOKUP(D132,X10:AA13,4,0)</f>
        <v>22.740693373479235</v>
      </c>
      <c r="E169" s="1" t="s">
        <v>52</v>
      </c>
      <c r="G169" s="10" t="s">
        <v>118</v>
      </c>
      <c r="H169" s="8" t="s">
        <v>9</v>
      </c>
      <c r="I169" s="11">
        <f>VLOOKUP(D132,X10:AD13,7,0)</f>
        <v>36.819720117417049</v>
      </c>
      <c r="J169" s="1" t="s">
        <v>21</v>
      </c>
      <c r="K169" s="83"/>
    </row>
    <row r="170" spans="1:13">
      <c r="A170" s="82"/>
      <c r="B170" s="10" t="s">
        <v>103</v>
      </c>
      <c r="C170" s="8" t="s">
        <v>9</v>
      </c>
      <c r="D170" s="11">
        <f>I169-D169</f>
        <v>14.079026743937813</v>
      </c>
      <c r="E170" s="1" t="s">
        <v>52</v>
      </c>
      <c r="K170" s="83"/>
    </row>
    <row r="171" spans="1:13">
      <c r="A171" s="82"/>
      <c r="K171" s="83"/>
    </row>
    <row r="172" spans="1:13">
      <c r="A172" s="82"/>
      <c r="B172" s="2" t="s">
        <v>127</v>
      </c>
      <c r="K172" s="83"/>
    </row>
    <row r="173" spans="1:13">
      <c r="A173" s="82"/>
      <c r="B173" s="10" t="s">
        <v>129</v>
      </c>
      <c r="C173" s="8" t="s">
        <v>9</v>
      </c>
      <c r="D173" s="11">
        <f>VLOOKUP(D132,X10:AG13,10,0)</f>
        <v>26.965653056280836</v>
      </c>
      <c r="E173" s="1" t="s">
        <v>52</v>
      </c>
      <c r="G173" s="103" t="s">
        <v>128</v>
      </c>
      <c r="H173" s="8" t="s">
        <v>9</v>
      </c>
      <c r="I173" s="11">
        <f>MAX(I132/(1+50*(G39)),1)</f>
        <v>1.3126815484704131</v>
      </c>
      <c r="K173" s="83"/>
    </row>
    <row r="174" spans="1:13">
      <c r="A174" s="82"/>
      <c r="B174" s="10" t="s">
        <v>130</v>
      </c>
      <c r="C174" s="8" t="s">
        <v>9</v>
      </c>
      <c r="D174" s="11">
        <f>I173*D173</f>
        <v>35.397315209434652</v>
      </c>
      <c r="E174" s="1" t="s">
        <v>52</v>
      </c>
      <c r="K174" s="83"/>
    </row>
    <row r="175" spans="1:13">
      <c r="A175" s="82"/>
      <c r="B175" s="10" t="s">
        <v>137</v>
      </c>
      <c r="C175" s="8" t="s">
        <v>9</v>
      </c>
      <c r="D175" s="11">
        <f>I169-D173</f>
        <v>9.8540670611362131</v>
      </c>
      <c r="E175" s="1" t="s">
        <v>52</v>
      </c>
      <c r="G175" s="77" t="s">
        <v>151</v>
      </c>
      <c r="H175" s="8" t="s">
        <v>9</v>
      </c>
      <c r="I175" s="11">
        <f>D175+D174</f>
        <v>45.251382270570865</v>
      </c>
      <c r="J175" s="1" t="s">
        <v>52</v>
      </c>
      <c r="K175" s="83"/>
    </row>
    <row r="176" spans="1:13">
      <c r="A176" s="82"/>
      <c r="K176" s="83"/>
    </row>
    <row r="177" spans="1:11">
      <c r="A177" s="82"/>
      <c r="B177" s="78" t="s">
        <v>131</v>
      </c>
      <c r="K177" s="83"/>
    </row>
    <row r="178" spans="1:11">
      <c r="A178" s="82"/>
      <c r="B178" s="2" t="s">
        <v>145</v>
      </c>
      <c r="G178" s="77" t="s">
        <v>103</v>
      </c>
      <c r="H178" s="8" t="s">
        <v>9</v>
      </c>
      <c r="I178" s="11">
        <f>D170</f>
        <v>14.079026743937813</v>
      </c>
      <c r="J178" s="1" t="str">
        <f>E170</f>
        <v>cm.</v>
      </c>
      <c r="K178" s="83"/>
    </row>
    <row r="179" spans="1:11">
      <c r="A179" s="82"/>
      <c r="B179" s="123" t="s">
        <v>132</v>
      </c>
      <c r="C179" s="123"/>
      <c r="D179" s="124" t="s">
        <v>136</v>
      </c>
      <c r="E179" s="124"/>
      <c r="F179" s="124"/>
      <c r="G179" s="124"/>
      <c r="H179" s="124"/>
      <c r="I179" s="124"/>
      <c r="J179" s="124"/>
      <c r="K179" s="125"/>
    </row>
    <row r="180" spans="1:11">
      <c r="A180" s="82"/>
      <c r="B180" s="1" t="s">
        <v>146</v>
      </c>
      <c r="C180" s="8" t="s">
        <v>9</v>
      </c>
      <c r="D180" s="8" t="str">
        <f>VLOOKUP(D179,X20:Y21,2,0)</f>
        <v>L/360</v>
      </c>
      <c r="E180" s="8" t="s">
        <v>9</v>
      </c>
      <c r="F180" s="11">
        <f>VLOOKUP(D179,X20:Z21,3,0)</f>
        <v>3.0111111111111111</v>
      </c>
      <c r="G180" s="1" t="s">
        <v>21</v>
      </c>
      <c r="I180" s="8" t="str">
        <f>IF(F180&gt;=I178,"OK","NOT OK")</f>
        <v>NOT OK</v>
      </c>
      <c r="K180" s="83"/>
    </row>
    <row r="181" spans="1:11">
      <c r="A181" s="82"/>
      <c r="B181" s="2" t="s">
        <v>148</v>
      </c>
      <c r="G181" s="77" t="s">
        <v>151</v>
      </c>
      <c r="H181" s="8" t="s">
        <v>9</v>
      </c>
      <c r="I181" s="11">
        <f>I175</f>
        <v>45.251382270570865</v>
      </c>
      <c r="J181" s="1" t="s">
        <v>52</v>
      </c>
      <c r="K181" s="83"/>
    </row>
    <row r="182" spans="1:11">
      <c r="A182" s="82"/>
      <c r="B182" s="123" t="s">
        <v>132</v>
      </c>
      <c r="C182" s="123"/>
      <c r="D182" s="124" t="s">
        <v>139</v>
      </c>
      <c r="E182" s="124"/>
      <c r="F182" s="124"/>
      <c r="G182" s="124"/>
      <c r="H182" s="124"/>
      <c r="I182" s="124"/>
      <c r="J182" s="124"/>
      <c r="K182" s="125"/>
    </row>
    <row r="183" spans="1:11">
      <c r="A183" s="82"/>
      <c r="B183" s="1" t="s">
        <v>146</v>
      </c>
      <c r="C183" s="8" t="s">
        <v>9</v>
      </c>
      <c r="D183" s="8" t="str">
        <f>VLOOKUP(D182,X22:Y23,2,0)</f>
        <v>L/240</v>
      </c>
      <c r="E183" s="8" t="s">
        <v>9</v>
      </c>
      <c r="F183" s="11">
        <f>VLOOKUP(D182,X22:Z23,3,0)</f>
        <v>4.5166666666666666</v>
      </c>
      <c r="G183" s="1" t="s">
        <v>21</v>
      </c>
      <c r="I183" s="8" t="str">
        <f>IF(F183&gt;=I181,"OK","NOT OK")</f>
        <v>NOT OK</v>
      </c>
      <c r="K183" s="83"/>
    </row>
    <row r="184" spans="1:11" ht="12" thickBot="1">
      <c r="A184" s="90"/>
      <c r="B184" s="91"/>
      <c r="C184" s="91"/>
      <c r="D184" s="91"/>
      <c r="E184" s="91"/>
      <c r="F184" s="91"/>
      <c r="G184" s="91"/>
      <c r="H184" s="91"/>
      <c r="I184" s="91"/>
      <c r="J184" s="91"/>
      <c r="K184" s="95"/>
    </row>
  </sheetData>
  <dataConsolidate link="1"/>
  <mergeCells count="47">
    <mergeCell ref="Y8:AA8"/>
    <mergeCell ref="AB8:AD8"/>
    <mergeCell ref="AE8:AG8"/>
    <mergeCell ref="G31:H31"/>
    <mergeCell ref="B32:B33"/>
    <mergeCell ref="F32:F33"/>
    <mergeCell ref="G32:H33"/>
    <mergeCell ref="B34:B35"/>
    <mergeCell ref="F34:F35"/>
    <mergeCell ref="G34:H35"/>
    <mergeCell ref="B36:B37"/>
    <mergeCell ref="F36:F37"/>
    <mergeCell ref="G36:H37"/>
    <mergeCell ref="G42:H42"/>
    <mergeCell ref="B43:B44"/>
    <mergeCell ref="F43:F44"/>
    <mergeCell ref="G43:H44"/>
    <mergeCell ref="B45:B46"/>
    <mergeCell ref="F45:F46"/>
    <mergeCell ref="G45:H46"/>
    <mergeCell ref="B47:B48"/>
    <mergeCell ref="F47:F48"/>
    <mergeCell ref="G47:H48"/>
    <mergeCell ref="G88:H88"/>
    <mergeCell ref="B89:B90"/>
    <mergeCell ref="F89:F90"/>
    <mergeCell ref="G89:H90"/>
    <mergeCell ref="B91:B92"/>
    <mergeCell ref="F91:F92"/>
    <mergeCell ref="G91:H92"/>
    <mergeCell ref="B93:B94"/>
    <mergeCell ref="F93:F94"/>
    <mergeCell ref="G93:H94"/>
    <mergeCell ref="B182:C182"/>
    <mergeCell ref="D182:K182"/>
    <mergeCell ref="G99:H99"/>
    <mergeCell ref="B100:B101"/>
    <mergeCell ref="F100:F101"/>
    <mergeCell ref="G100:H101"/>
    <mergeCell ref="B102:B103"/>
    <mergeCell ref="F102:F103"/>
    <mergeCell ref="G102:H103"/>
    <mergeCell ref="B104:B105"/>
    <mergeCell ref="F104:F105"/>
    <mergeCell ref="G104:H105"/>
    <mergeCell ref="B179:C179"/>
    <mergeCell ref="D179:K179"/>
  </mergeCells>
  <conditionalFormatting sqref="F61">
    <cfRule type="containsText" dxfId="36" priority="22" operator="containsText" text="NOT">
      <formula>NOT(ISERROR(SEARCH("NOT",F61)))</formula>
    </cfRule>
  </conditionalFormatting>
  <conditionalFormatting sqref="G32">
    <cfRule type="containsText" dxfId="35" priority="37" operator="containsText" text="NOT">
      <formula>NOT(ISERROR(SEARCH("NOT",G32)))</formula>
    </cfRule>
    <cfRule type="containsText" dxfId="34" priority="36" operator="containsText" text="N/A">
      <formula>NOT(ISERROR(SEARCH("N/A",G32)))</formula>
    </cfRule>
  </conditionalFormatting>
  <conditionalFormatting sqref="G34">
    <cfRule type="containsText" dxfId="33" priority="35" operator="containsText" text="NOT">
      <formula>NOT(ISERROR(SEARCH("NOT",G34)))</formula>
    </cfRule>
    <cfRule type="containsText" dxfId="32" priority="34" operator="containsText" text="N/A">
      <formula>NOT(ISERROR(SEARCH("N/A",G34)))</formula>
    </cfRule>
  </conditionalFormatting>
  <conditionalFormatting sqref="G36">
    <cfRule type="containsText" dxfId="31" priority="33" operator="containsText" text="NOT">
      <formula>NOT(ISERROR(SEARCH("NOT",G36)))</formula>
    </cfRule>
    <cfRule type="containsText" dxfId="30" priority="32" operator="containsText" text="N/A">
      <formula>NOT(ISERROR(SEARCH("N/A",G36)))</formula>
    </cfRule>
  </conditionalFormatting>
  <conditionalFormatting sqref="G43">
    <cfRule type="containsText" dxfId="29" priority="27" operator="containsText" text="NOT">
      <formula>NOT(ISERROR(SEARCH("NOT",G43)))</formula>
    </cfRule>
    <cfRule type="containsText" dxfId="28" priority="26" operator="containsText" text="N/A">
      <formula>NOT(ISERROR(SEARCH("N/A",G43)))</formula>
    </cfRule>
  </conditionalFormatting>
  <conditionalFormatting sqref="G45">
    <cfRule type="containsText" dxfId="27" priority="29" operator="containsText" text="NOT">
      <formula>NOT(ISERROR(SEARCH("NOT",G45)))</formula>
    </cfRule>
    <cfRule type="containsText" dxfId="26" priority="28" operator="containsText" text="N/A">
      <formula>NOT(ISERROR(SEARCH("N/A",G45)))</formula>
    </cfRule>
  </conditionalFormatting>
  <conditionalFormatting sqref="G47">
    <cfRule type="containsText" dxfId="25" priority="31" operator="containsText" text="NOT">
      <formula>NOT(ISERROR(SEARCH("NOT",G47)))</formula>
    </cfRule>
    <cfRule type="containsText" dxfId="24" priority="30" operator="containsText" text="N/A">
      <formula>NOT(ISERROR(SEARCH("N/A",G47)))</formula>
    </cfRule>
  </conditionalFormatting>
  <conditionalFormatting sqref="G89">
    <cfRule type="containsText" dxfId="23" priority="20" operator="containsText" text="NOT">
      <formula>NOT(ISERROR(SEARCH("NOT",G89)))</formula>
    </cfRule>
    <cfRule type="containsText" dxfId="22" priority="19" operator="containsText" text="N/A">
      <formula>NOT(ISERROR(SEARCH("N/A",G89)))</formula>
    </cfRule>
  </conditionalFormatting>
  <conditionalFormatting sqref="G91">
    <cfRule type="containsText" dxfId="21" priority="18" operator="containsText" text="NOT">
      <formula>NOT(ISERROR(SEARCH("NOT",G91)))</formula>
    </cfRule>
    <cfRule type="containsText" dxfId="20" priority="17" operator="containsText" text="N/A">
      <formula>NOT(ISERROR(SEARCH("N/A",G91)))</formula>
    </cfRule>
  </conditionalFormatting>
  <conditionalFormatting sqref="G93">
    <cfRule type="containsText" dxfId="19" priority="16" operator="containsText" text="NOT">
      <formula>NOT(ISERROR(SEARCH("NOT",G93)))</formula>
    </cfRule>
    <cfRule type="containsText" dxfId="18" priority="15" operator="containsText" text="N/A">
      <formula>NOT(ISERROR(SEARCH("N/A",G93)))</formula>
    </cfRule>
  </conditionalFormatting>
  <conditionalFormatting sqref="G100">
    <cfRule type="containsText" dxfId="17" priority="10" operator="containsText" text="NOT">
      <formula>NOT(ISERROR(SEARCH("NOT",G100)))</formula>
    </cfRule>
    <cfRule type="containsText" dxfId="16" priority="9" operator="containsText" text="N/A">
      <formula>NOT(ISERROR(SEARCH("N/A",G100)))</formula>
    </cfRule>
  </conditionalFormatting>
  <conditionalFormatting sqref="G102">
    <cfRule type="containsText" dxfId="15" priority="12" operator="containsText" text="NOT">
      <formula>NOT(ISERROR(SEARCH("NOT",G102)))</formula>
    </cfRule>
    <cfRule type="containsText" dxfId="14" priority="11" operator="containsText" text="N/A">
      <formula>NOT(ISERROR(SEARCH("N/A",G102)))</formula>
    </cfRule>
  </conditionalFormatting>
  <conditionalFormatting sqref="G104">
    <cfRule type="containsText" dxfId="13" priority="14" operator="containsText" text="NOT">
      <formula>NOT(ISERROR(SEARCH("NOT",G104)))</formula>
    </cfRule>
    <cfRule type="containsText" dxfId="12" priority="13" operator="containsText" text="N/A">
      <formula>NOT(ISERROR(SEARCH("N/A",G104)))</formula>
    </cfRule>
  </conditionalFormatting>
  <conditionalFormatting sqref="I50">
    <cfRule type="containsText" dxfId="11" priority="25" operator="containsText" text="NOT">
      <formula>NOT(ISERROR(SEARCH("NOT",I50)))</formula>
    </cfRule>
  </conditionalFormatting>
  <conditionalFormatting sqref="I107">
    <cfRule type="containsText" dxfId="10" priority="8" operator="containsText" text="NOT">
      <formula>NOT(ISERROR(SEARCH("NOT",I107)))</formula>
    </cfRule>
  </conditionalFormatting>
  <conditionalFormatting sqref="I180">
    <cfRule type="notContainsText" dxfId="9" priority="4" operator="notContains" text="NOT">
      <formula>ISERROR(SEARCH("NOT",I180))</formula>
    </cfRule>
    <cfRule type="containsText" dxfId="8" priority="5" operator="containsText" text="NOT">
      <formula>NOT(ISERROR(SEARCH("NOT",I180)))</formula>
    </cfRule>
  </conditionalFormatting>
  <conditionalFormatting sqref="I183">
    <cfRule type="notContainsText" dxfId="7" priority="2" operator="notContains" text="NOT">
      <formula>ISERROR(SEARCH("NOT",I183))</formula>
    </cfRule>
    <cfRule type="containsText" dxfId="6" priority="3" operator="containsText" text="NOT">
      <formula>NOT(ISERROR(SEARCH("NOT",I183)))</formula>
    </cfRule>
  </conditionalFormatting>
  <conditionalFormatting sqref="J56">
    <cfRule type="notContainsText" dxfId="5" priority="23" operator="notContains" text="NOT">
      <formula>ISERROR(SEARCH("NOT",J56))</formula>
    </cfRule>
    <cfRule type="beginsWith" dxfId="4" priority="24" operator="beginsWith" text="NOT">
      <formula>LEFT(J56,LEN("NOT"))="NOT"</formula>
    </cfRule>
  </conditionalFormatting>
  <conditionalFormatting sqref="J113">
    <cfRule type="notContainsText" dxfId="3" priority="6" operator="notContains" text="NOT">
      <formula>ISERROR(SEARCH("NOT",J113))</formula>
    </cfRule>
    <cfRule type="beginsWith" dxfId="2" priority="7" operator="beginsWith" text="NOT">
      <formula>LEFT(J113,LEN("NOT"))="NOT"</formula>
    </cfRule>
  </conditionalFormatting>
  <conditionalFormatting sqref="K70:K72">
    <cfRule type="containsText" dxfId="1" priority="21" operator="containsText" text="NOT">
      <formula>NOT(ISERROR(SEARCH("NOT",K70)))</formula>
    </cfRule>
  </conditionalFormatting>
  <conditionalFormatting sqref="K118:K119">
    <cfRule type="containsText" dxfId="0" priority="1" operator="containsText" text="NOT">
      <formula>NOT(ISERROR(SEARCH("NOT",K118)))</formula>
    </cfRule>
  </conditionalFormatting>
  <dataValidations count="5">
    <dataValidation type="list" allowBlank="1" showInputMessage="1" showErrorMessage="1" sqref="B4" xr:uid="{74EF3582-E6D4-4954-937E-80AC80A3CC43}">
      <formula1>$X$3:$X$6</formula1>
    </dataValidation>
    <dataValidation type="list" allowBlank="1" showInputMessage="1" showErrorMessage="1" sqref="E67:E68 E115:E116" xr:uid="{6966FFE0-DC42-4344-BEEF-202A4376FF54}">
      <formula1>$X$3:$X$4</formula1>
    </dataValidation>
    <dataValidation type="list" allowBlank="1" showInputMessage="1" showErrorMessage="1" sqref="D182" xr:uid="{B4558E3A-35B2-47FF-AEC0-3BBEE87997FD}">
      <formula1>$X$22:$X$23</formula1>
    </dataValidation>
    <dataValidation type="list" allowBlank="1" showInputMessage="1" showErrorMessage="1" sqref="D179" xr:uid="{280A6560-B74A-4F68-AFB0-25EBA5609FC3}">
      <formula1>$X$20:$X$21</formula1>
    </dataValidation>
    <dataValidation type="list" allowBlank="1" showInputMessage="1" showErrorMessage="1" sqref="D132" xr:uid="{E5BC139B-2975-4DF0-BD31-4CA6DACA55C6}">
      <formula1>$X$10:$X$13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2" orientation="portrait" r:id="rId1"/>
  <rowBreaks count="2" manualBreakCount="2">
    <brk id="72" max="10" man="1"/>
    <brk id="119" max="10" man="1"/>
  </rowBreaks>
  <colBreaks count="1" manualBreakCount="1">
    <brk id="11" max="1048575" man="1"/>
  </colBreaks>
  <drawing r:id="rId2"/>
  <legacyDrawing r:id="rId3"/>
  <oleObjects>
    <mc:AlternateContent xmlns:mc="http://schemas.openxmlformats.org/markup-compatibility/2006">
      <mc:Choice Requires="x14">
        <oleObject progId="Visio.Drawing.11" shapeId="2049" r:id="rId4">
          <objectPr defaultSize="0" autoPict="0" r:id="rId5">
            <anchor moveWithCells="1">
              <from>
                <xdr:col>4</xdr:col>
                <xdr:colOff>342900</xdr:colOff>
                <xdr:row>16</xdr:row>
                <xdr:rowOff>76200</xdr:rowOff>
              </from>
              <to>
                <xdr:col>6</xdr:col>
                <xdr:colOff>257175</xdr:colOff>
                <xdr:row>24</xdr:row>
                <xdr:rowOff>114300</xdr:rowOff>
              </to>
            </anchor>
          </objectPr>
        </oleObject>
      </mc:Choice>
      <mc:Fallback>
        <oleObject progId="Visio.Drawing.11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B1</vt:lpstr>
      <vt:lpstr>'B1'!fy</vt:lpstr>
      <vt:lpstr>'B1'!Print_Area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Ekaraj Prakobkit</dc:creator>
  <cp:lastModifiedBy>Ekaraj Prakobkit</cp:lastModifiedBy>
  <cp:lastPrinted>2023-03-05T10:56:03Z</cp:lastPrinted>
  <dcterms:created xsi:type="dcterms:W3CDTF">2020-09-03T02:27:15Z</dcterms:created>
  <dcterms:modified xsi:type="dcterms:W3CDTF">2026-03-28T08:59:24Z</dcterms:modified>
</cp:coreProperties>
</file>